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6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ing Folder\EDMP\Analysed Data\New 170320\ATC\"/>
    </mc:Choice>
  </mc:AlternateContent>
  <xr:revisionPtr revIDLastSave="0" documentId="13_ncr:1_{33AFB92E-6426-47CF-A118-BE099D624127}" xr6:coauthVersionLast="45" xr6:coauthVersionMax="45" xr10:uidLastSave="{00000000-0000-0000-0000-000000000000}"/>
  <bookViews>
    <workbookView xWindow="-120" yWindow="-120" windowWidth="20730" windowHeight="11160" firstSheet="1" activeTab="2" xr2:uid="{00000000-000D-0000-FFFF-FFFF00000000}"/>
  </bookViews>
  <sheets>
    <sheet name="27-02-KYEBANDO RBT-KISAASI RBT" sheetId="1" r:id="rId1"/>
    <sheet name="27-02-KISAASI RBT-KYEBANDO RBT" sheetId="2" r:id="rId2"/>
    <sheet name="27-02-KISAASI RBT-KYEBANDO 2DIR" sheetId="3" r:id="rId3"/>
  </sheets>
  <externalReferences>
    <externalReference r:id="rId4"/>
  </externalReferences>
  <definedNames>
    <definedName name="_xlnm.Print_Area" localSheetId="2">'27-02-KISAASI RBT-KYEBANDO 2DIR'!$A$1:$W$56</definedName>
    <definedName name="_xlnm.Print_Area" localSheetId="1">'27-02-KISAASI RBT-KYEBANDO RBT'!$A$1:$W$58</definedName>
    <definedName name="_xlnm.Print_Area" localSheetId="0">'27-02-KYEBANDO RBT-KISAASI RBT'!$A$1:$W$58</definedName>
    <definedName name="_xlnm.Print_Titles" localSheetId="2">'27-02-KISAASI RBT-KYEBANDO 2DIR'!$1:$8</definedName>
    <definedName name="_xlnm.Print_Titles" localSheetId="1">'27-02-KISAASI RBT-KYEBANDO RBT'!$1:$8</definedName>
    <definedName name="_xlnm.Print_Titles" localSheetId="0">'27-02-KYEBANDO RBT-KISAASI RBT'!$1:$8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C13" i="3" l="1"/>
  <c r="AC16" i="3" s="1"/>
  <c r="AB13" i="3"/>
  <c r="AB14" i="3" s="1"/>
  <c r="AC14" i="3" l="1"/>
  <c r="AB15" i="3"/>
  <c r="AC15" i="3"/>
  <c r="AB16" i="3"/>
  <c r="D11" i="1" l="1"/>
  <c r="E11" i="1"/>
  <c r="F11" i="1"/>
  <c r="G11" i="1"/>
  <c r="H11" i="1"/>
  <c r="I11" i="1"/>
  <c r="J11" i="1"/>
  <c r="K11" i="1"/>
  <c r="L11" i="1"/>
  <c r="M11" i="1"/>
  <c r="N11" i="1"/>
  <c r="D12" i="1"/>
  <c r="E12" i="1"/>
  <c r="F12" i="1"/>
  <c r="G12" i="1"/>
  <c r="H12" i="1"/>
  <c r="I12" i="1"/>
  <c r="J12" i="1"/>
  <c r="K12" i="1"/>
  <c r="L12" i="1"/>
  <c r="M12" i="1"/>
  <c r="N12" i="1"/>
  <c r="D13" i="1"/>
  <c r="E13" i="1"/>
  <c r="F13" i="1"/>
  <c r="G13" i="1"/>
  <c r="H13" i="1"/>
  <c r="I13" i="1"/>
  <c r="J13" i="1"/>
  <c r="K13" i="1"/>
  <c r="L13" i="1"/>
  <c r="M13" i="1"/>
  <c r="N13" i="1"/>
  <c r="D14" i="1"/>
  <c r="E14" i="1"/>
  <c r="F14" i="1"/>
  <c r="G14" i="1"/>
  <c r="H14" i="1"/>
  <c r="I14" i="1"/>
  <c r="J14" i="1"/>
  <c r="K14" i="1"/>
  <c r="L14" i="1"/>
  <c r="M14" i="1"/>
  <c r="N14" i="1"/>
  <c r="D15" i="1"/>
  <c r="E15" i="1"/>
  <c r="F15" i="1"/>
  <c r="G15" i="1"/>
  <c r="H15" i="1"/>
  <c r="I15" i="1"/>
  <c r="J15" i="1"/>
  <c r="K15" i="1"/>
  <c r="L15" i="1"/>
  <c r="M15" i="1"/>
  <c r="N15" i="1"/>
  <c r="D16" i="1"/>
  <c r="E16" i="1"/>
  <c r="F16" i="1"/>
  <c r="G16" i="1"/>
  <c r="H16" i="1"/>
  <c r="I16" i="1"/>
  <c r="J16" i="1"/>
  <c r="K16" i="1"/>
  <c r="L16" i="1"/>
  <c r="M16" i="1"/>
  <c r="N16" i="1"/>
  <c r="E10" i="1"/>
  <c r="F10" i="1"/>
  <c r="G10" i="1"/>
  <c r="H10" i="1"/>
  <c r="I10" i="1"/>
  <c r="J10" i="1"/>
  <c r="K10" i="1"/>
  <c r="L10" i="1"/>
  <c r="M10" i="1"/>
  <c r="N10" i="1"/>
  <c r="D11" i="2"/>
  <c r="E11" i="2"/>
  <c r="F11" i="2"/>
  <c r="G11" i="2"/>
  <c r="H11" i="2"/>
  <c r="I11" i="2"/>
  <c r="J11" i="2"/>
  <c r="K11" i="2"/>
  <c r="L11" i="2"/>
  <c r="M11" i="2"/>
  <c r="N11" i="2"/>
  <c r="D12" i="2"/>
  <c r="E12" i="2"/>
  <c r="F12" i="2"/>
  <c r="G12" i="2"/>
  <c r="H12" i="2"/>
  <c r="I12" i="2"/>
  <c r="J12" i="2"/>
  <c r="K12" i="2"/>
  <c r="L12" i="2"/>
  <c r="M12" i="2"/>
  <c r="N12" i="2"/>
  <c r="D13" i="2"/>
  <c r="E13" i="2"/>
  <c r="F13" i="2"/>
  <c r="G13" i="2"/>
  <c r="H13" i="2"/>
  <c r="I13" i="2"/>
  <c r="J13" i="2"/>
  <c r="K13" i="2"/>
  <c r="L13" i="2"/>
  <c r="M13" i="2"/>
  <c r="N13" i="2"/>
  <c r="D14" i="2"/>
  <c r="E14" i="2"/>
  <c r="F14" i="2"/>
  <c r="G14" i="2"/>
  <c r="H14" i="2"/>
  <c r="I14" i="2"/>
  <c r="J14" i="2"/>
  <c r="K14" i="2"/>
  <c r="L14" i="2"/>
  <c r="M14" i="2"/>
  <c r="N14" i="2"/>
  <c r="D15" i="2"/>
  <c r="E15" i="2"/>
  <c r="F15" i="2"/>
  <c r="G15" i="2"/>
  <c r="H15" i="2"/>
  <c r="I15" i="2"/>
  <c r="J15" i="2"/>
  <c r="K15" i="2"/>
  <c r="L15" i="2"/>
  <c r="M15" i="2"/>
  <c r="N15" i="2"/>
  <c r="D16" i="2"/>
  <c r="E16" i="2"/>
  <c r="F16" i="2"/>
  <c r="G16" i="2"/>
  <c r="H16" i="2"/>
  <c r="I16" i="2"/>
  <c r="J16" i="2"/>
  <c r="K16" i="2"/>
  <c r="L16" i="2"/>
  <c r="M16" i="2"/>
  <c r="N16" i="2"/>
  <c r="E10" i="2"/>
  <c r="F10" i="2"/>
  <c r="G10" i="2"/>
  <c r="H10" i="2"/>
  <c r="I10" i="2"/>
  <c r="J10" i="2"/>
  <c r="K10" i="2"/>
  <c r="L10" i="2"/>
  <c r="M10" i="2"/>
  <c r="N10" i="2"/>
  <c r="D10" i="2"/>
  <c r="D10" i="1"/>
  <c r="C11" i="3" l="1"/>
  <c r="D11" i="3"/>
  <c r="E11" i="3"/>
  <c r="F11" i="3"/>
  <c r="G11" i="3"/>
  <c r="H11" i="3"/>
  <c r="I11" i="3"/>
  <c r="J11" i="3"/>
  <c r="K11" i="3"/>
  <c r="L11" i="3"/>
  <c r="M11" i="3"/>
  <c r="N11" i="3"/>
  <c r="C12" i="3"/>
  <c r="D12" i="3"/>
  <c r="E12" i="3"/>
  <c r="F12" i="3"/>
  <c r="G12" i="3"/>
  <c r="H12" i="3"/>
  <c r="I12" i="3"/>
  <c r="J12" i="3"/>
  <c r="K12" i="3"/>
  <c r="L12" i="3"/>
  <c r="M12" i="3"/>
  <c r="N12" i="3"/>
  <c r="C13" i="3"/>
  <c r="D13" i="3"/>
  <c r="E13" i="3"/>
  <c r="F13" i="3"/>
  <c r="G13" i="3"/>
  <c r="H13" i="3"/>
  <c r="I13" i="3"/>
  <c r="J13" i="3"/>
  <c r="K13" i="3"/>
  <c r="L13" i="3"/>
  <c r="M13" i="3"/>
  <c r="N13" i="3"/>
  <c r="C14" i="3"/>
  <c r="D14" i="3"/>
  <c r="E14" i="3"/>
  <c r="F14" i="3"/>
  <c r="G14" i="3"/>
  <c r="H14" i="3"/>
  <c r="I14" i="3"/>
  <c r="J14" i="3"/>
  <c r="K14" i="3"/>
  <c r="L14" i="3"/>
  <c r="M14" i="3"/>
  <c r="N14" i="3"/>
  <c r="C15" i="3"/>
  <c r="D15" i="3"/>
  <c r="E15" i="3"/>
  <c r="F15" i="3"/>
  <c r="G15" i="3"/>
  <c r="H15" i="3"/>
  <c r="I15" i="3"/>
  <c r="J15" i="3"/>
  <c r="K15" i="3"/>
  <c r="L15" i="3"/>
  <c r="M15" i="3"/>
  <c r="N15" i="3"/>
  <c r="C16" i="3"/>
  <c r="D16" i="3"/>
  <c r="E16" i="3"/>
  <c r="F16" i="3"/>
  <c r="G16" i="3"/>
  <c r="H16" i="3"/>
  <c r="I16" i="3"/>
  <c r="J16" i="3"/>
  <c r="K16" i="3"/>
  <c r="L16" i="3"/>
  <c r="M16" i="3"/>
  <c r="N16" i="3"/>
  <c r="D10" i="3"/>
  <c r="E10" i="3"/>
  <c r="F10" i="3"/>
  <c r="G10" i="3"/>
  <c r="H10" i="3"/>
  <c r="I10" i="3"/>
  <c r="J10" i="3"/>
  <c r="K10" i="3"/>
  <c r="K17" i="3" s="1"/>
  <c r="L10" i="3"/>
  <c r="M10" i="3"/>
  <c r="N10" i="3"/>
  <c r="C10" i="3"/>
  <c r="C17" i="3" s="1"/>
  <c r="G17" i="3"/>
  <c r="L17" i="3"/>
  <c r="M17" i="3"/>
  <c r="I17" i="3" l="1"/>
  <c r="H17" i="3"/>
  <c r="D17" i="3"/>
  <c r="O13" i="3"/>
  <c r="O15" i="3"/>
  <c r="O16" i="3"/>
  <c r="O14" i="3"/>
  <c r="F17" i="3"/>
  <c r="N17" i="3"/>
  <c r="J17" i="3"/>
  <c r="O12" i="3"/>
  <c r="O11" i="3"/>
  <c r="P16" i="3"/>
  <c r="P14" i="3"/>
  <c r="P12" i="3"/>
  <c r="E17" i="3"/>
  <c r="P10" i="3"/>
  <c r="O10" i="3"/>
  <c r="P15" i="3"/>
  <c r="P13" i="3"/>
  <c r="P11" i="3"/>
  <c r="P17" i="3" l="1"/>
  <c r="F18" i="3" s="1"/>
  <c r="O18" i="3"/>
  <c r="N18" i="3"/>
  <c r="C18" i="3"/>
  <c r="J18" i="3"/>
  <c r="H18" i="3"/>
  <c r="M18" i="3"/>
  <c r="I18" i="3"/>
  <c r="E18" i="3"/>
  <c r="P18" i="3"/>
  <c r="O17" i="3"/>
  <c r="F19" i="3" s="1"/>
  <c r="G18" i="3"/>
  <c r="K18" i="3"/>
  <c r="D18" i="3"/>
  <c r="L18" i="3"/>
  <c r="D19" i="3" l="1"/>
  <c r="L19" i="3"/>
  <c r="M19" i="3"/>
  <c r="N19" i="3"/>
  <c r="J19" i="3"/>
  <c r="E19" i="3"/>
  <c r="I19" i="3"/>
  <c r="H19" i="3"/>
  <c r="K19" i="3"/>
  <c r="G19" i="3"/>
  <c r="N17" i="2"/>
  <c r="M17" i="2"/>
  <c r="L17" i="2"/>
  <c r="K17" i="2"/>
  <c r="J17" i="2"/>
  <c r="I17" i="2"/>
  <c r="H17" i="2"/>
  <c r="G17" i="2"/>
  <c r="F17" i="2"/>
  <c r="E17" i="2"/>
  <c r="D17" i="2"/>
  <c r="P16" i="2"/>
  <c r="P15" i="2"/>
  <c r="P14" i="2"/>
  <c r="P13" i="2"/>
  <c r="P12" i="2"/>
  <c r="P11" i="1"/>
  <c r="P12" i="1"/>
  <c r="P13" i="1"/>
  <c r="P14" i="1"/>
  <c r="P15" i="1"/>
  <c r="P16" i="1"/>
  <c r="P10" i="1"/>
  <c r="D17" i="1"/>
  <c r="E17" i="1"/>
  <c r="F17" i="1"/>
  <c r="G17" i="1"/>
  <c r="H17" i="1"/>
  <c r="I17" i="1"/>
  <c r="J17" i="1"/>
  <c r="K17" i="1"/>
  <c r="L17" i="1"/>
  <c r="M17" i="1"/>
  <c r="N17" i="1"/>
  <c r="C17" i="1"/>
  <c r="P17" i="1" l="1"/>
  <c r="C18" i="1" s="1"/>
  <c r="O17" i="1"/>
  <c r="E19" i="1" s="1"/>
  <c r="O17" i="2"/>
  <c r="G19" i="2" s="1"/>
  <c r="O18" i="2"/>
  <c r="L19" i="1" l="1"/>
  <c r="H19" i="1"/>
  <c r="I19" i="1"/>
  <c r="K19" i="1"/>
  <c r="G19" i="1"/>
  <c r="M19" i="1"/>
  <c r="F19" i="1"/>
  <c r="D19" i="1"/>
  <c r="N19" i="1"/>
  <c r="K19" i="2"/>
  <c r="L19" i="2"/>
  <c r="H19" i="2"/>
  <c r="E19" i="2"/>
  <c r="F19" i="2"/>
  <c r="M19" i="2"/>
  <c r="N19" i="2"/>
  <c r="D19" i="2"/>
  <c r="I19" i="2"/>
  <c r="J19" i="2"/>
  <c r="J19" i="1"/>
  <c r="F18" i="1" l="1"/>
  <c r="E18" i="1" l="1"/>
  <c r="K18" i="1"/>
  <c r="M18" i="1"/>
  <c r="I18" i="1"/>
  <c r="D18" i="1"/>
  <c r="L18" i="1"/>
  <c r="H18" i="1"/>
  <c r="G18" i="1"/>
  <c r="N18" i="1"/>
  <c r="J18" i="1"/>
  <c r="P18" i="1"/>
  <c r="O18" i="1" l="1"/>
  <c r="P10" i="2"/>
  <c r="P11" i="2"/>
  <c r="C17" i="2"/>
  <c r="P18" i="2" l="1"/>
  <c r="P17" i="2"/>
  <c r="M18" i="2" s="1"/>
  <c r="C18" i="2" l="1"/>
  <c r="F18" i="2"/>
  <c r="G18" i="2"/>
  <c r="J18" i="2"/>
  <c r="I18" i="2"/>
  <c r="H18" i="2"/>
  <c r="L18" i="2"/>
  <c r="K18" i="2"/>
  <c r="N18" i="2"/>
  <c r="E18" i="2"/>
  <c r="D18" i="2"/>
</calcChain>
</file>

<file path=xl/sharedStrings.xml><?xml version="1.0" encoding="utf-8"?>
<sst xmlns="http://schemas.openxmlformats.org/spreadsheetml/2006/main" count="123" uniqueCount="45">
  <si>
    <t>Consultancy services for Preparation of Expressway Development Master Plan (EDMP) for Uganda</t>
  </si>
  <si>
    <t>ROAD NAME:</t>
  </si>
  <si>
    <t>Date</t>
  </si>
  <si>
    <t xml:space="preserve">  Location</t>
  </si>
  <si>
    <t>Surveyor</t>
  </si>
  <si>
    <t>Dir. From</t>
  </si>
  <si>
    <t xml:space="preserve">  Dir. To</t>
  </si>
  <si>
    <t>Supervisor</t>
  </si>
  <si>
    <t>Time / Veh Type</t>
  </si>
  <si>
    <t>SUMMARY TRAFFIC VOLUMES</t>
  </si>
  <si>
    <t>Total Excl M/ Cycles</t>
  </si>
  <si>
    <t>%ges + MCs</t>
  </si>
  <si>
    <t>%ges w/o MCs</t>
  </si>
  <si>
    <t>IVAN</t>
  </si>
  <si>
    <t>ATC</t>
  </si>
  <si>
    <t>1.Motorcycles</t>
  </si>
  <si>
    <t>Mon</t>
  </si>
  <si>
    <t>THU</t>
  </si>
  <si>
    <t>FRI</t>
  </si>
  <si>
    <t>SAT</t>
  </si>
  <si>
    <t>TUE</t>
  </si>
  <si>
    <t>WED</t>
  </si>
  <si>
    <t>SUN</t>
  </si>
  <si>
    <t>Average daily volume</t>
  </si>
  <si>
    <t xml:space="preserve"> Total All</t>
  </si>
  <si>
    <t>AUTOMATIC TRAFFIC COUNT (ATC)</t>
  </si>
  <si>
    <t>WEEKLY TRAFFIC VOLUMES</t>
  </si>
  <si>
    <t>KYEBANDO RBT</t>
  </si>
  <si>
    <t>KYENBANDO RBT</t>
  </si>
  <si>
    <t xml:space="preserve">ATC - STN31-NORTHERN BYPASS RD </t>
  </si>
  <si>
    <t>KISAASI RBT</t>
  </si>
  <si>
    <t>27.01.2020 TO 02.02.2020</t>
  </si>
  <si>
    <t>ATC - STN31 BOTH DIRECTION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</si>
  <si>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</si>
  <si>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</si>
  <si>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</si>
  <si>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</si>
  <si>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</si>
  <si>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</si>
  <si>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</si>
  <si>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</si>
  <si>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</si>
  <si>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</si>
  <si>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12. Tractors</t>
  </si>
  <si>
    <t>4. Minibus matatu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</si>
</sst>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1"/>
      <color theme="1"/>
      <name val="Arial"/>
      <family val="2"/>
    </font>
    <font>
      <sz val="12"/>
      <color theme="1"/>
      <name val="Calibri"/>
      <family val="2"/>
      <scheme val="minor"/>
    </font>
    <font>
      <b/>
      <sz val="12"/>
      <color theme="1"/>
      <name val="Arial"/>
      <family val="2"/>
    </font>
    <font>
      <b/>
      <sz val="11"/>
      <color indexed="8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Arial"/>
      <family val="2"/>
    </font>
    <font>
      <sz val="8"/>
      <name val="Calibri"/>
      <family val="2"/>
      <scheme val="minor"/>
    </font>
    <font>
      <sz val="11"/>
      <color theme="0" tint="-0.1499984740745262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8">
    <xf numFmtId="0" fontId="0" fillId="0" borderId="0" xfId="0"/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7" fillId="0" borderId="0" xfId="0" applyFont="1"/>
    <xf numFmtId="0" fontId="0" fillId="0" borderId="4" xfId="0" applyBorder="1"/>
    <xf numFmtId="0" fontId="10" fillId="2" borderId="1" xfId="0" applyFont="1" applyFill="1" applyBorder="1" applyAlignment="1">
      <alignment horizontal="center" vertical="center" wrapText="1"/>
    </xf>
    <xf numFmtId="1" fontId="0" fillId="0" borderId="4" xfId="0" applyNumberFormat="1" applyBorder="1" applyAlignment="1">
      <alignment horizontal="center"/>
    </xf>
    <xf numFmtId="1" fontId="0" fillId="2" borderId="4" xfId="0" applyNumberFormat="1" applyFill="1" applyBorder="1" applyAlignment="1">
      <alignment horizontal="center"/>
    </xf>
    <xf numFmtId="9" fontId="0" fillId="0" borderId="0" xfId="1" applyFont="1"/>
    <xf numFmtId="1" fontId="2" fillId="0" borderId="6" xfId="0" applyNumberFormat="1" applyFont="1" applyBorder="1" applyAlignment="1">
      <alignment horizontal="center"/>
    </xf>
    <xf numFmtId="1" fontId="2" fillId="2" borderId="4" xfId="0" applyNumberFormat="1" applyFont="1" applyFill="1" applyBorder="1" applyAlignment="1">
      <alignment horizontal="center"/>
    </xf>
    <xf numFmtId="164" fontId="0" fillId="0" borderId="0" xfId="0" applyNumberFormat="1"/>
    <xf numFmtId="0" fontId="9" fillId="0" borderId="4" xfId="0" applyFont="1" applyBorder="1" applyAlignment="1">
      <alignment horizontal="center" vertical="center" wrapText="1"/>
    </xf>
    <xf numFmtId="0" fontId="5" fillId="0" borderId="0" xfId="0" applyFont="1" applyBorder="1" applyAlignment="1"/>
    <xf numFmtId="0" fontId="9" fillId="0" borderId="4" xfId="0" applyFont="1" applyBorder="1" applyAlignment="1">
      <alignment horizontal="left" vertical="center" wrapText="1"/>
    </xf>
    <xf numFmtId="9" fontId="2" fillId="0" borderId="4" xfId="1" applyFont="1" applyBorder="1" applyAlignment="1">
      <alignment horizontal="center"/>
    </xf>
    <xf numFmtId="0" fontId="6" fillId="0" borderId="4" xfId="0" applyFont="1" applyBorder="1" applyAlignment="1">
      <alignment horizontal="left" vertical="center"/>
    </xf>
    <xf numFmtId="0" fontId="6" fillId="0" borderId="4" xfId="0" applyFont="1" applyBorder="1" applyAlignment="1">
      <alignment horizontal="center" vertical="center"/>
    </xf>
    <xf numFmtId="0" fontId="3" fillId="0" borderId="0" xfId="0" applyFont="1" applyAlignment="1"/>
    <xf numFmtId="0" fontId="4" fillId="0" borderId="0" xfId="0" applyFont="1" applyAlignment="1"/>
    <xf numFmtId="1" fontId="0" fillId="0" borderId="4" xfId="0" applyNumberFormat="1" applyBorder="1" applyAlignment="1"/>
    <xf numFmtId="1" fontId="0" fillId="0" borderId="4" xfId="0" applyNumberFormat="1" applyBorder="1" applyAlignment="1">
      <alignment horizontal="right"/>
    </xf>
    <xf numFmtId="164" fontId="13" fillId="0" borderId="0" xfId="1" applyNumberFormat="1" applyFont="1" applyAlignment="1">
      <alignment horizontal="center"/>
    </xf>
    <xf numFmtId="164" fontId="13" fillId="0" borderId="0" xfId="1" applyNumberFormat="1" applyFont="1"/>
    <xf numFmtId="0" fontId="2" fillId="0" borderId="4" xfId="0" applyFont="1" applyBorder="1" applyAlignment="1">
      <alignment horizontal="center" vertical="center" wrapText="1"/>
    </xf>
    <xf numFmtId="1" fontId="0" fillId="0" borderId="0" xfId="0" applyNumberFormat="1"/>
    <xf numFmtId="165" fontId="0" fillId="0" borderId="0" xfId="0" applyNumberFormat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8" fillId="0" borderId="5" xfId="0" applyFont="1" applyBorder="1" applyAlignment="1">
      <alignment horizontal="center"/>
    </xf>
    <xf numFmtId="0" fontId="0" fillId="0" borderId="4" xfId="0" applyBorder="1" applyAlignment="1">
      <alignment horizontal="left"/>
    </xf>
    <xf numFmtId="0" fontId="5" fillId="0" borderId="4" xfId="0" applyFont="1" applyBorder="1" applyAlignment="1">
      <alignment horizontal="center"/>
    </xf>
    <xf numFmtId="0" fontId="6" fillId="0" borderId="2" xfId="0" applyFont="1" applyBorder="1" applyAlignment="1">
      <alignment horizontal="left" vertical="center" wrapText="1"/>
    </xf>
    <xf numFmtId="0" fontId="6" fillId="0" borderId="3" xfId="0" applyFont="1" applyBorder="1" applyAlignment="1">
      <alignment horizontal="left" vertical="center" wrapText="1"/>
    </xf>
    <xf numFmtId="0" fontId="11" fillId="0" borderId="2" xfId="0" applyFont="1" applyBorder="1" applyAlignment="1">
      <alignment horizontal="left" vertical="center" wrapText="1"/>
    </xf>
    <xf numFmtId="0" fontId="11" fillId="0" borderId="3" xfId="0" applyFont="1" applyBorder="1" applyAlignment="1">
      <alignment horizontal="left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Weekly Traffic Variation </a:t>
            </a:r>
          </a:p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'27-02-KYEBANDO RBT-KISAASI RBT'!$O$9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'27-02-KYEBANDO RBT-KISAASI RBT'!$B$10:$B$16</c:f>
              <c:strCache>
                <c:ptCount val="7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  <c:pt idx="5">
                  <c:v>SAT</c:v>
                </c:pt>
                <c:pt idx="6">
                  <c:v>SUN</c:v>
                </c:pt>
              </c:strCache>
            </c:strRef>
          </c:cat>
          <c:val>
            <c:numRef>
              <c:f>'27-02-KYEBANDO RBT-KISAASI RBT'!$O$10:$O$16</c:f>
              <c:numCache>
                <c:formatCode>0</c:formatCode>
                <c:ptCount val="7"/>
                <c:pt idx="0">
                  <c:v>13352</c:v>
                </c:pt>
                <c:pt idx="1">
                  <c:v>12904</c:v>
                </c:pt>
                <c:pt idx="2">
                  <c:v>11872</c:v>
                </c:pt>
                <c:pt idx="3">
                  <c:v>12969</c:v>
                </c:pt>
                <c:pt idx="4">
                  <c:v>13295</c:v>
                </c:pt>
                <c:pt idx="5">
                  <c:v>13823</c:v>
                </c:pt>
                <c:pt idx="6">
                  <c:v>12141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32-4FEA-9337-4E2FD7646512}"/>
            </c:ext>
          </c:extLst>
        </c:ser>
        <c:ser>
          <c:idx val="1"/>
          <c:order val="1"/>
          <c:tx>
            <c:strRef>
              <c:f>'27-02-KYEBANDO RBT-KISAASI RBT'!$P$9</c:f>
              <c:strCache>
                <c:ptCount val="1"/>
                <c:pt idx="0">
                  <c:v> 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'27-02-KYEBANDO RBT-KISAASI RBT'!$B$10:$B$16</c:f>
              <c:strCache>
                <c:ptCount val="7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  <c:pt idx="5">
                  <c:v>SAT</c:v>
                </c:pt>
                <c:pt idx="6">
                  <c:v>SUN</c:v>
                </c:pt>
              </c:strCache>
            </c:strRef>
          </c:cat>
          <c:val>
            <c:numRef>
              <c:f>'27-02-KYEBANDO RBT-KISAASI RBT'!$P$10:$P$16</c:f>
              <c:numCache>
                <c:formatCode>0</c:formatCode>
                <c:ptCount val="7"/>
                <c:pt idx="0">
                  <c:v>16458.999999999996</c:v>
                </c:pt>
                <c:pt idx="1">
                  <c:v>16269.999999999995</c:v>
                </c:pt>
                <c:pt idx="2">
                  <c:v>15087.999999999998</c:v>
                </c:pt>
                <c:pt idx="3">
                  <c:v>16229.999999999993</c:v>
                </c:pt>
                <c:pt idx="4">
                  <c:v>16474.999999999996</c:v>
                </c:pt>
                <c:pt idx="5">
                  <c:v>17369</c:v>
                </c:pt>
                <c:pt idx="6">
                  <c:v>16028.999999999996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F32-4FEA-9337-4E2FD76465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2091792"/>
        <c:axId val="802094512"/>
      </c:lineChart>
      <c:catAx>
        <c:axId val="8020917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02094512"/>
        <c:crosses val="autoZero"/>
        <c:auto val="1"/>
        <c:lblAlgn val="ctr"/>
        <c:lblOffset val="100"/>
        <c:noMultiLvlLbl val="0"/>
      </c:catAx>
      <c:valAx>
        <c:axId val="802094512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02091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Including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66"/>
      <c:depthPercent val="100"/>
      <c:rAngAx val="0"/>
      <c:perspective val="1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7577465720024135E-2"/>
          <c:y val="8.013560502587487E-2"/>
          <c:w val="0.87655985254857882"/>
          <c:h val="0.80325343229815682"/>
        </c:manualLayout>
      </c:layout>
      <c:pie3DChart>
        <c:varyColors val="1"/>
        <c:ser>
          <c:idx val="0"/>
          <c:order val="0"/>
          <c:tx>
            <c:strRef>
              <c:f>'27-02-KYEBANDO RBT-KISAASI RBT'!$C$18:$N$18</c:f>
              <c:strCache>
                <c:ptCount val="12"/>
                <c:pt idx="0">
                  <c:v>21%</c:v>
                </c:pt>
                <c:pt idx="1">
                  <c:v>37%</c:v>
                </c:pt>
                <c:pt idx="2">
                  <c:v>6%</c:v>
                </c:pt>
                <c:pt idx="3">
                  <c:v>5%</c:v>
                </c:pt>
                <c:pt idx="4">
                  <c:v>15%</c:v>
                </c:pt>
                <c:pt idx="5">
                  <c:v>1%</c:v>
                </c:pt>
                <c:pt idx="6">
                  <c:v>0%</c:v>
                </c:pt>
                <c:pt idx="7">
                  <c:v>6%</c:v>
                </c:pt>
                <c:pt idx="8">
                  <c:v>5%</c:v>
                </c:pt>
                <c:pt idx="9">
                  <c:v>2%</c:v>
                </c:pt>
                <c:pt idx="10">
                  <c:v>3%</c:v>
                </c:pt>
                <c:pt idx="11">
                  <c:v>0%</c:v>
                </c:pt>
              </c:strCache>
            </c:strRef>
          </c:tx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458-40FA-AC31-D48FDE46438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458-40FA-AC31-D48FDE46438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458-40FA-AC31-D48FDE46438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458-40FA-AC31-D48FDE46438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458-40FA-AC31-D48FDE46438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458-40FA-AC31-D48FDE46438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458-40FA-AC31-D48FDE46438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458-40FA-AC31-D48FDE46438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458-40FA-AC31-D48FDE46438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458-40FA-AC31-D48FDE46438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458-40FA-AC31-D48FDE46438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458-40FA-AC31-D48FDE46438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458-40FA-AC31-D48FDE46438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'27-02-KYEBANDO RBT-KISAASI RBT'!$C$9:$N$9</c:f>
              <c:strCache>
                <c:ptCount val="12"/>
                <c:pt idx="0">
                  <c:v>1.Motorcycles</c:v>
                </c:pt>
                <c:pt idx="1">
                  <c:v>1. Car</c:v>
                </c:pt>
                <c:pt idx="2">
                  <c:v>2. Station Wagon</c:v>
                </c:pt>
                <c:pt idx="3">
                  <c:v>3. Pickups</c:v>
                </c:pt>
                <c:pt idx="4">
                  <c:v>4. Minibus, matatu</c:v>
                </c:pt>
                <c:pt idx="5">
                  <c:v>5. Medium bus </c:v>
                </c:pt>
                <c:pt idx="6">
                  <c:v>6. Large Bus</c:v>
                </c:pt>
                <c:pt idx="7">
                  <c:v>7. Light Truck </c:v>
                </c:pt>
                <c:pt idx="8">
                  <c:v>8. Medium Truck </c:v>
                </c:pt>
                <c:pt idx="9">
                  <c:v>9. Heavy truck </c:v>
                </c:pt>
                <c:pt idx="10">
                  <c:v>10. Truck Trailer </c:v>
                </c:pt>
                <c:pt idx="11">
                  <c:v>12. Tractors</c:v>
                </c:pt>
              </c:strCache>
            </c:strRef>
          </c:cat>
          <c:val>
            <c:numRef>
              <c:f>'[1]Avg Week Munyonyo-Kibuye-2Dir'!$C$107:$N$107</c:f>
              <c:numCache>
                <c:formatCode>General</c:formatCode>
                <c:ptCount val="12"/>
                <c:pt idx="0">
                  <c:v>0.12930183209716614</c:v>
                </c:pt>
                <c:pt idx="1">
                  <c:v>4.7988984766631639E-2</c:v>
                </c:pt>
                <c:pt idx="2">
                  <c:v>1.3401469889907276E-2</c:v>
                </c:pt>
                <c:pt idx="3">
                  <c:v>0.15237739492909838</c:v>
                </c:pt>
                <c:pt idx="4">
                  <c:v>1.6530797551375614E-3</c:v>
                </c:pt>
                <c:pt idx="5">
                  <c:v>3.3379495055662294E-4</c:v>
                </c:pt>
                <c:pt idx="6">
                  <c:v>1.1366910191276423E-2</c:v>
                </c:pt>
                <c:pt idx="7">
                  <c:v>2.1160215615643068E-3</c:v>
                </c:pt>
                <c:pt idx="8">
                  <c:v>1.8398459774728146E-3</c:v>
                </c:pt>
                <c:pt idx="9">
                  <c:v>1.4106810410428709E-4</c:v>
                </c:pt>
                <c:pt idx="10">
                  <c:v>0.63936435904415434</c:v>
                </c:pt>
                <c:pt idx="11">
                  <c:v>1.1523873293026267E-4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458-40FA-AC31-D48FDE4643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Excluding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8.5621349354452078E-2"/>
          <c:y val="0.20025731425750379"/>
          <c:w val="0.83261086583830202"/>
          <c:h val="0.76871916342946045"/>
        </c:manualLayout>
      </c:layout>
      <c:pie3DChart>
        <c:varyColors val="1"/>
        <c:ser>
          <c:idx val="0"/>
          <c:order val="0"/>
          <c:tx>
            <c:strRef>
              <c:f>'27-02-KYEBANDO RBT-KISAASI RBT'!$D$19:$N$19</c:f>
              <c:strCache>
                <c:ptCount val="11"/>
                <c:pt idx="0">
                  <c:v>46%</c:v>
                </c:pt>
                <c:pt idx="1">
                  <c:v>7%</c:v>
                </c:pt>
                <c:pt idx="2">
                  <c:v>7%</c:v>
                </c:pt>
                <c:pt idx="3">
                  <c:v>19%</c:v>
                </c:pt>
                <c:pt idx="4">
                  <c:v>1%</c:v>
                </c:pt>
                <c:pt idx="5">
                  <c:v>0%</c:v>
                </c:pt>
                <c:pt idx="6">
                  <c:v>7%</c:v>
                </c:pt>
                <c:pt idx="7">
                  <c:v>6%</c:v>
                </c:pt>
                <c:pt idx="8">
                  <c:v>3%</c:v>
                </c:pt>
                <c:pt idx="9">
                  <c:v>3%</c:v>
                </c:pt>
                <c:pt idx="10">
                  <c:v>0%</c:v>
                </c:pt>
              </c:strCache>
            </c:strRef>
          </c:tx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5EE-4E36-A14A-A997E962A16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5EE-4E36-A14A-A997E962A16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5EE-4E36-A14A-A997E962A16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5EE-4E36-A14A-A997E962A16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5EE-4E36-A14A-A997E962A16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5EE-4E36-A14A-A997E962A16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5EE-4E36-A14A-A997E962A16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5EE-4E36-A14A-A997E962A16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5EE-4E36-A14A-A997E962A16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5EE-4E36-A14A-A997E962A16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5EE-4E36-A14A-A997E962A16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5EE-4E36-A14A-A997E962A16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5EE-4E36-A14A-A997E962A16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'27-02-KYEBANDO RBT-KISAASI RBT'!$C$9:$N$9</c:f>
              <c:strCache>
                <c:ptCount val="12"/>
                <c:pt idx="0">
                  <c:v>1.Motorcycles</c:v>
                </c:pt>
                <c:pt idx="1">
                  <c:v>1. Car</c:v>
                </c:pt>
                <c:pt idx="2">
                  <c:v>2. Station Wagon</c:v>
                </c:pt>
                <c:pt idx="3">
                  <c:v>3. Pickups</c:v>
                </c:pt>
                <c:pt idx="4">
                  <c:v>4. Minibus, matatu</c:v>
                </c:pt>
                <c:pt idx="5">
                  <c:v>5. Medium bus </c:v>
                </c:pt>
                <c:pt idx="6">
                  <c:v>6. Large Bus</c:v>
                </c:pt>
                <c:pt idx="7">
                  <c:v>7. Light Truck </c:v>
                </c:pt>
                <c:pt idx="8">
                  <c:v>8. Medium Truck </c:v>
                </c:pt>
                <c:pt idx="9">
                  <c:v>9. Heavy truck </c:v>
                </c:pt>
                <c:pt idx="10">
                  <c:v>10. Truck Trailer </c:v>
                </c:pt>
                <c:pt idx="11">
                  <c:v>12. Tractors</c:v>
                </c:pt>
              </c:strCache>
            </c:strRef>
          </c:cat>
          <c:val>
            <c:numRef>
              <c:f>'[1]Avg Week Munyonyo-Kibuye-2Dir'!$C$108:$N$108</c:f>
              <c:numCache>
                <c:formatCode>General</c:formatCode>
                <c:ptCount val="12"/>
                <c:pt idx="0">
                  <c:v>0.35853869505093411</c:v>
                </c:pt>
                <c:pt idx="1">
                  <c:v>0.13306778176288778</c:v>
                </c:pt>
                <c:pt idx="2">
                  <c:v>3.7160691756331646E-2</c:v>
                </c:pt>
                <c:pt idx="3">
                  <c:v>0.42252450291721066</c:v>
                </c:pt>
                <c:pt idx="4">
                  <c:v>4.5837947429604037E-3</c:v>
                </c:pt>
                <c:pt idx="5">
                  <c:v>9.2557393848238909E-4</c:v>
                </c:pt>
                <c:pt idx="6">
                  <c:v>3.1519098226534203E-2</c:v>
                </c:pt>
                <c:pt idx="7">
                  <c:v>5.8674776457365756E-3</c:v>
                </c:pt>
                <c:pt idx="8">
                  <c:v>5.1016753990160259E-3</c:v>
                </c:pt>
                <c:pt idx="9">
                  <c:v>3.9116517638243829E-4</c:v>
                </c:pt>
                <c:pt idx="10">
                  <c:v>3.9116502739489079E-4</c:v>
                </c:pt>
                <c:pt idx="11">
                  <c:v>3.1954338352368198E-4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5EE-4E36-A14A-A997E962A1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Weekly Traffic Variation </a:t>
            </a:r>
          </a:p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530571164873657"/>
          <c:y val="0.14189235127478753"/>
          <c:w val="0.74266939327419168"/>
          <c:h val="0.68825054092034532"/>
        </c:manualLayout>
      </c:layout>
      <c:lineChart>
        <c:grouping val="standard"/>
        <c:varyColors val="0"/>
        <c:ser>
          <c:idx val="0"/>
          <c:order val="0"/>
          <c:tx>
            <c:strRef>
              <c:f>'27-02-KISAASI RBT-KYEBANDO RBT'!$O$9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'27-02-KISAASI RBT-KYEBANDO RBT'!$B$10:$B$16</c:f>
              <c:strCache>
                <c:ptCount val="7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  <c:pt idx="5">
                  <c:v>SAT</c:v>
                </c:pt>
                <c:pt idx="6">
                  <c:v>SUN</c:v>
                </c:pt>
              </c:strCache>
            </c:strRef>
          </c:cat>
          <c:val>
            <c:numRef>
              <c:f>'27-02-KISAASI RBT-KYEBANDO RBT'!$O$10:$O$16</c:f>
              <c:numCache>
                <c:formatCode>0</c:formatCode>
                <c:ptCount val="7"/>
                <c:pt idx="0">
                  <c:v>13447</c:v>
                </c:pt>
                <c:pt idx="1">
                  <c:v>13177</c:v>
                </c:pt>
                <c:pt idx="2">
                  <c:v>12114</c:v>
                </c:pt>
                <c:pt idx="3">
                  <c:v>13122</c:v>
                </c:pt>
                <c:pt idx="4">
                  <c:v>13718</c:v>
                </c:pt>
                <c:pt idx="5">
                  <c:v>14256</c:v>
                </c:pt>
                <c:pt idx="6">
                  <c:v>12425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7A-47D0-B109-A9114B7F6EA2}"/>
            </c:ext>
          </c:extLst>
        </c:ser>
        <c:ser>
          <c:idx val="1"/>
          <c:order val="1"/>
          <c:tx>
            <c:strRef>
              <c:f>'27-02-KISAASI RBT-KYEBANDO RBT'!$P$9</c:f>
              <c:strCache>
                <c:ptCount val="1"/>
                <c:pt idx="0">
                  <c:v> 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'27-02-KISAASI RBT-KYEBANDO RBT'!$B$10:$B$16</c:f>
              <c:strCache>
                <c:ptCount val="7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  <c:pt idx="5">
                  <c:v>SAT</c:v>
                </c:pt>
                <c:pt idx="6">
                  <c:v>SUN</c:v>
                </c:pt>
              </c:strCache>
            </c:strRef>
          </c:cat>
          <c:val>
            <c:numRef>
              <c:f>'27-02-KISAASI RBT-KYEBANDO RBT'!$P$10:$P$16</c:f>
              <c:numCache>
                <c:formatCode>0</c:formatCode>
                <c:ptCount val="7"/>
                <c:pt idx="0">
                  <c:v>16753.999999999996</c:v>
                </c:pt>
                <c:pt idx="1">
                  <c:v>16734</c:v>
                </c:pt>
                <c:pt idx="2">
                  <c:v>15472.999999999998</c:v>
                </c:pt>
                <c:pt idx="3">
                  <c:v>16747.999999999996</c:v>
                </c:pt>
                <c:pt idx="4">
                  <c:v>16995</c:v>
                </c:pt>
                <c:pt idx="5">
                  <c:v>17889.999999999996</c:v>
                </c:pt>
                <c:pt idx="6">
                  <c:v>16567.999999999996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47A-47D0-B109-A9114B7F6E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2091792"/>
        <c:axId val="802094512"/>
      </c:lineChart>
      <c:catAx>
        <c:axId val="8020917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02094512"/>
        <c:crosses val="autoZero"/>
        <c:auto val="1"/>
        <c:lblAlgn val="ctr"/>
        <c:lblOffset val="100"/>
        <c:noMultiLvlLbl val="0"/>
      </c:catAx>
      <c:valAx>
        <c:axId val="802094512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02091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Including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66"/>
      <c:depthPercent val="100"/>
      <c:rAngAx val="0"/>
      <c:perspective val="1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7577465720024135E-2"/>
          <c:y val="8.013560502587487E-2"/>
          <c:w val="0.87655985254857882"/>
          <c:h val="0.80325343229815682"/>
        </c:manualLayout>
      </c:layout>
      <c:pie3DChart>
        <c:varyColors val="1"/>
        <c:ser>
          <c:idx val="0"/>
          <c:order val="0"/>
          <c:tx>
            <c:strRef>
              <c:f>'27-02-KISAASI RBT-KYEBANDO RBT'!$C$18:$N$18</c:f>
              <c:strCache>
                <c:ptCount val="12"/>
                <c:pt idx="0">
                  <c:v>21%</c:v>
                </c:pt>
                <c:pt idx="1">
                  <c:v>37%</c:v>
                </c:pt>
                <c:pt idx="2">
                  <c:v>6%</c:v>
                </c:pt>
                <c:pt idx="3">
                  <c:v>5%</c:v>
                </c:pt>
                <c:pt idx="4">
                  <c:v>15%</c:v>
                </c:pt>
                <c:pt idx="5">
                  <c:v>1%</c:v>
                </c:pt>
                <c:pt idx="6">
                  <c:v>0%</c:v>
                </c:pt>
                <c:pt idx="7">
                  <c:v>6%</c:v>
                </c:pt>
                <c:pt idx="8">
                  <c:v>5%</c:v>
                </c:pt>
                <c:pt idx="9">
                  <c:v>2%</c:v>
                </c:pt>
                <c:pt idx="10">
                  <c:v>3%</c:v>
                </c:pt>
                <c:pt idx="11">
                  <c:v>0%</c:v>
                </c:pt>
              </c:strCache>
            </c:strRef>
          </c:tx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1C0-43BE-ADDE-6EEEF26FE9B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1C0-43BE-ADDE-6EEEF26FE9B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1C0-43BE-ADDE-6EEEF26FE9B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1C0-43BE-ADDE-6EEEF26FE9B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1C0-43BE-ADDE-6EEEF26FE9B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1C0-43BE-ADDE-6EEEF26FE9B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1C0-43BE-ADDE-6EEEF26FE9B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1C0-43BE-ADDE-6EEEF26FE9B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1C0-43BE-ADDE-6EEEF26FE9B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1C0-43BE-ADDE-6EEEF26FE9B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1C0-43BE-ADDE-6EEEF26FE9B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1C0-43BE-ADDE-6EEEF26FE9B8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1C0-43BE-ADDE-6EEEF26FE9B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'27-02-KISAASI RBT-KYEBANDO RBT'!$C$9:$N$9</c:f>
              <c:strCache>
                <c:ptCount val="12"/>
                <c:pt idx="0">
                  <c:v>1.Motorcycles</c:v>
                </c:pt>
                <c:pt idx="1">
                  <c:v>1. Car</c:v>
                </c:pt>
                <c:pt idx="2">
                  <c:v>2. Station Wagon</c:v>
                </c:pt>
                <c:pt idx="3">
                  <c:v>3. Pickups</c:v>
                </c:pt>
                <c:pt idx="4">
                  <c:v>4. Minibus, matatu</c:v>
                </c:pt>
                <c:pt idx="5">
                  <c:v>5. Medium bus </c:v>
                </c:pt>
                <c:pt idx="6">
                  <c:v>6. Large Bus</c:v>
                </c:pt>
                <c:pt idx="7">
                  <c:v>7. Light Truck </c:v>
                </c:pt>
                <c:pt idx="8">
                  <c:v>8. Medium Truck </c:v>
                </c:pt>
                <c:pt idx="9">
                  <c:v>9. Heavy truck </c:v>
                </c:pt>
                <c:pt idx="10">
                  <c:v>10. Truck Trailer </c:v>
                </c:pt>
                <c:pt idx="11">
                  <c:v>12. Tractors</c:v>
                </c:pt>
              </c:strCache>
            </c:strRef>
          </c:cat>
          <c:val>
            <c:numRef>
              <c:f>'[1]Avg Week Munyonyo-Kibuye-2Dir'!$C$107:$N$107</c:f>
              <c:numCache>
                <c:formatCode>General</c:formatCode>
                <c:ptCount val="12"/>
                <c:pt idx="0">
                  <c:v>0.12930183209716614</c:v>
                </c:pt>
                <c:pt idx="1">
                  <c:v>4.7988984766631639E-2</c:v>
                </c:pt>
                <c:pt idx="2">
                  <c:v>1.3401469889907276E-2</c:v>
                </c:pt>
                <c:pt idx="3">
                  <c:v>0.15237739492909838</c:v>
                </c:pt>
                <c:pt idx="4">
                  <c:v>1.6530797551375614E-3</c:v>
                </c:pt>
                <c:pt idx="5">
                  <c:v>3.3379495055662294E-4</c:v>
                </c:pt>
                <c:pt idx="6">
                  <c:v>1.1366910191276423E-2</c:v>
                </c:pt>
                <c:pt idx="7">
                  <c:v>2.1160215615643068E-3</c:v>
                </c:pt>
                <c:pt idx="8">
                  <c:v>1.8398459774728146E-3</c:v>
                </c:pt>
                <c:pt idx="9">
                  <c:v>1.4106810410428709E-4</c:v>
                </c:pt>
                <c:pt idx="10">
                  <c:v>0.63936435904415434</c:v>
                </c:pt>
                <c:pt idx="11">
                  <c:v>1.1523873293026267E-4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1C0-43BE-ADDE-6EEEF26FE9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Excluding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8.5621349354452078E-2"/>
          <c:y val="0.20025731425750379"/>
          <c:w val="0.83261086583830202"/>
          <c:h val="0.76871916342946045"/>
        </c:manualLayout>
      </c:layout>
      <c:pie3DChart>
        <c:varyColors val="1"/>
        <c:ser>
          <c:idx val="0"/>
          <c:order val="0"/>
          <c:tx>
            <c:strRef>
              <c:f>'27-02-KISAASI RBT-KYEBANDO RBT'!$D$19:$N$19</c:f>
              <c:strCache>
                <c:ptCount val="11"/>
                <c:pt idx="0">
                  <c:v>46%</c:v>
                </c:pt>
                <c:pt idx="1">
                  <c:v>7%</c:v>
                </c:pt>
                <c:pt idx="2">
                  <c:v>7%</c:v>
                </c:pt>
                <c:pt idx="3">
                  <c:v>19%</c:v>
                </c:pt>
                <c:pt idx="4">
                  <c:v>1%</c:v>
                </c:pt>
                <c:pt idx="5">
                  <c:v>0%</c:v>
                </c:pt>
                <c:pt idx="6">
                  <c:v>7%</c:v>
                </c:pt>
                <c:pt idx="7">
                  <c:v>6%</c:v>
                </c:pt>
                <c:pt idx="8">
                  <c:v>3%</c:v>
                </c:pt>
                <c:pt idx="9">
                  <c:v>3%</c:v>
                </c:pt>
                <c:pt idx="10">
                  <c:v>0%</c:v>
                </c:pt>
              </c:strCache>
            </c:strRef>
          </c:tx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1B6-44FA-B163-D2897382F42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1B6-44FA-B163-D2897382F42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1B6-44FA-B163-D2897382F42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1B6-44FA-B163-D2897382F42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1B6-44FA-B163-D2897382F42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1B6-44FA-B163-D2897382F42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1B6-44FA-B163-D2897382F42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1B6-44FA-B163-D2897382F42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1B6-44FA-B163-D2897382F42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1B6-44FA-B163-D2897382F42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1B6-44FA-B163-D2897382F42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1B6-44FA-B163-D2897382F42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1B6-44FA-B163-D2897382F42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'27-02-KISAASI RBT-KYEBANDO RBT'!$C$9:$N$9</c:f>
              <c:strCache>
                <c:ptCount val="12"/>
                <c:pt idx="0">
                  <c:v>1.Motorcycles</c:v>
                </c:pt>
                <c:pt idx="1">
                  <c:v>1. Car</c:v>
                </c:pt>
                <c:pt idx="2">
                  <c:v>2. Station Wagon</c:v>
                </c:pt>
                <c:pt idx="3">
                  <c:v>3. Pickups</c:v>
                </c:pt>
                <c:pt idx="4">
                  <c:v>4. Minibus, matatu</c:v>
                </c:pt>
                <c:pt idx="5">
                  <c:v>5. Medium bus </c:v>
                </c:pt>
                <c:pt idx="6">
                  <c:v>6. Large Bus</c:v>
                </c:pt>
                <c:pt idx="7">
                  <c:v>7. Light Truck </c:v>
                </c:pt>
                <c:pt idx="8">
                  <c:v>8. Medium Truck </c:v>
                </c:pt>
                <c:pt idx="9">
                  <c:v>9. Heavy truck </c:v>
                </c:pt>
                <c:pt idx="10">
                  <c:v>10. Truck Trailer </c:v>
                </c:pt>
                <c:pt idx="11">
                  <c:v>12. Tractors</c:v>
                </c:pt>
              </c:strCache>
            </c:strRef>
          </c:cat>
          <c:val>
            <c:numRef>
              <c:f>'[1]Avg Week Munyonyo-Kibuye-2Dir'!$C$108:$N$108</c:f>
              <c:numCache>
                <c:formatCode>General</c:formatCode>
                <c:ptCount val="12"/>
                <c:pt idx="0">
                  <c:v>0.35853869505093411</c:v>
                </c:pt>
                <c:pt idx="1">
                  <c:v>0.13306778176288778</c:v>
                </c:pt>
                <c:pt idx="2">
                  <c:v>3.7160691756331646E-2</c:v>
                </c:pt>
                <c:pt idx="3">
                  <c:v>0.42252450291721066</c:v>
                </c:pt>
                <c:pt idx="4">
                  <c:v>4.5837947429604037E-3</c:v>
                </c:pt>
                <c:pt idx="5">
                  <c:v>9.2557393848238909E-4</c:v>
                </c:pt>
                <c:pt idx="6">
                  <c:v>3.1519098226534203E-2</c:v>
                </c:pt>
                <c:pt idx="7">
                  <c:v>5.8674776457365756E-3</c:v>
                </c:pt>
                <c:pt idx="8">
                  <c:v>5.1016753990160259E-3</c:v>
                </c:pt>
                <c:pt idx="9">
                  <c:v>3.9116517638243829E-4</c:v>
                </c:pt>
                <c:pt idx="10">
                  <c:v>3.9116502739489079E-4</c:v>
                </c:pt>
                <c:pt idx="11">
                  <c:v>3.1954338352368198E-4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1B6-44FA-B163-D2897382F4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600"/>
              <a:t>Average Weekly Traffic Variation - KNBP Kyebando Rd to Kisaasi Junction </a:t>
            </a:r>
          </a:p>
          <a:p>
            <a:pPr>
              <a:defRPr sz="1600"/>
            </a:pPr>
            <a:r>
              <a:rPr lang="en-US" sz="1600"/>
              <a:t> </a:t>
            </a:r>
            <a:endParaRPr lang="x-none" sz="1600"/>
          </a:p>
        </c:rich>
      </c:tx>
      <c:layout>
        <c:manualLayout>
          <c:xMode val="edge"/>
          <c:yMode val="edge"/>
          <c:x val="0.16709412920194774"/>
          <c:y val="3.6416229840958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3767250317349711"/>
          <c:y val="0.13962606232294617"/>
          <c:w val="0.84694288351263425"/>
          <c:h val="0.68825054092034532"/>
        </c:manualLayout>
      </c:layout>
      <c:lineChart>
        <c:grouping val="standard"/>
        <c:varyColors val="0"/>
        <c:ser>
          <c:idx val="0"/>
          <c:order val="0"/>
          <c:tx>
            <c:strRef>
              <c:f>'27-02-KISAASI RBT-KYEBANDO 2DIR'!$O$9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squar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'27-02-KISAASI RBT-KYEBANDO 2DIR'!$B$10:$B$16</c:f>
              <c:strCache>
                <c:ptCount val="7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  <c:pt idx="5">
                  <c:v>SAT</c:v>
                </c:pt>
                <c:pt idx="6">
                  <c:v>SUN</c:v>
                </c:pt>
              </c:strCache>
            </c:strRef>
          </c:cat>
          <c:val>
            <c:numRef>
              <c:f>'27-02-KISAASI RBT-KYEBANDO 2DIR'!$O$10:$O$16</c:f>
              <c:numCache>
                <c:formatCode>0</c:formatCode>
                <c:ptCount val="7"/>
                <c:pt idx="0">
                  <c:v>26798.999999999993</c:v>
                </c:pt>
                <c:pt idx="1">
                  <c:v>26080.999999999993</c:v>
                </c:pt>
                <c:pt idx="2">
                  <c:v>23985.999999999989</c:v>
                </c:pt>
                <c:pt idx="3">
                  <c:v>26090.999999999993</c:v>
                </c:pt>
                <c:pt idx="4">
                  <c:v>27012.999999999993</c:v>
                </c:pt>
                <c:pt idx="5">
                  <c:v>28078.999999999993</c:v>
                </c:pt>
                <c:pt idx="6">
                  <c:v>24565.999999999996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577-4425-B01E-3DF95DF75246}"/>
            </c:ext>
          </c:extLst>
        </c:ser>
        <c:ser>
          <c:idx val="1"/>
          <c:order val="1"/>
          <c:tx>
            <c:strRef>
              <c:f>'27-02-KISAASI RBT-KYEBANDO 2DIR'!$P$9</c:f>
              <c:strCache>
                <c:ptCount val="1"/>
                <c:pt idx="0">
                  <c:v> Total All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squar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'27-02-KISAASI RBT-KYEBANDO 2DIR'!$B$10:$B$16</c:f>
              <c:strCache>
                <c:ptCount val="7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  <c:pt idx="5">
                  <c:v>SAT</c:v>
                </c:pt>
                <c:pt idx="6">
                  <c:v>SUN</c:v>
                </c:pt>
              </c:strCache>
            </c:strRef>
          </c:cat>
          <c:val>
            <c:numRef>
              <c:f>'27-02-KISAASI RBT-KYEBANDO 2DIR'!$P$10:$P$16</c:f>
              <c:numCache>
                <c:formatCode>0</c:formatCode>
                <c:ptCount val="7"/>
                <c:pt idx="0">
                  <c:v>33212.999999999993</c:v>
                </c:pt>
                <c:pt idx="1">
                  <c:v>33003.999999999993</c:v>
                </c:pt>
                <c:pt idx="2">
                  <c:v>30560.999999999989</c:v>
                </c:pt>
                <c:pt idx="3">
                  <c:v>32977.999999999985</c:v>
                </c:pt>
                <c:pt idx="4">
                  <c:v>33469.999999999985</c:v>
                </c:pt>
                <c:pt idx="5">
                  <c:v>35259</c:v>
                </c:pt>
                <c:pt idx="6">
                  <c:v>32596.999999999996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577-4425-B01E-3DF95DF752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2091792"/>
        <c:axId val="802094512"/>
      </c:lineChart>
      <c:catAx>
        <c:axId val="802091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802094512"/>
        <c:crosses val="autoZero"/>
        <c:auto val="1"/>
        <c:lblAlgn val="ctr"/>
        <c:lblOffset val="100"/>
        <c:noMultiLvlLbl val="0"/>
      </c:catAx>
      <c:valAx>
        <c:axId val="802094512"/>
        <c:scaling>
          <c:orientation val="minMax"/>
          <c:min val="15000"/>
        </c:scaling>
        <c:delete val="0"/>
        <c:axPos val="l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/>
                  <a:t>Traffic Volume </a:t>
                </a:r>
              </a:p>
            </c:rich>
          </c:tx>
          <c:layout>
            <c:manualLayout>
              <c:xMode val="edge"/>
              <c:yMode val="edge"/>
              <c:x val="4.3652595241591589E-2"/>
              <c:y val="0.4013545983805849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802091792"/>
        <c:crosses val="autoZero"/>
        <c:crossBetween val="between"/>
        <c:majorUnit val="2500"/>
      </c:valAx>
      <c:spPr>
        <a:solidFill>
          <a:schemeClr val="bg1">
            <a:lumMod val="85000"/>
          </a:schemeClr>
        </a:soli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Including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66"/>
      <c:depthPercent val="100"/>
      <c:rAngAx val="0"/>
      <c:perspective val="1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7577465720024135E-2"/>
          <c:y val="8.013560502587487E-2"/>
          <c:w val="0.87655985254857882"/>
          <c:h val="0.80325343229815682"/>
        </c:manualLayout>
      </c:layout>
      <c:pie3DChart>
        <c:varyColors val="1"/>
        <c:ser>
          <c:idx val="0"/>
          <c:order val="0"/>
          <c:tx>
            <c:strRef>
              <c:f>'27-02-KISAASI RBT-KYEBANDO 2DIR'!$C$18:$N$18</c:f>
              <c:strCache>
                <c:ptCount val="12"/>
                <c:pt idx="0">
                  <c:v>21%</c:v>
                </c:pt>
                <c:pt idx="1">
                  <c:v>37%</c:v>
                </c:pt>
                <c:pt idx="2">
                  <c:v>6%</c:v>
                </c:pt>
                <c:pt idx="3">
                  <c:v>5%</c:v>
                </c:pt>
                <c:pt idx="4">
                  <c:v>15%</c:v>
                </c:pt>
                <c:pt idx="5">
                  <c:v>1%</c:v>
                </c:pt>
                <c:pt idx="6">
                  <c:v>0%</c:v>
                </c:pt>
                <c:pt idx="7">
                  <c:v>6%</c:v>
                </c:pt>
                <c:pt idx="8">
                  <c:v>5%</c:v>
                </c:pt>
                <c:pt idx="9">
                  <c:v>2%</c:v>
                </c:pt>
                <c:pt idx="10">
                  <c:v>3%</c:v>
                </c:pt>
                <c:pt idx="11">
                  <c:v>0%</c:v>
                </c:pt>
              </c:strCache>
            </c:strRef>
          </c:tx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761-4961-892E-2273740390C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761-4961-892E-2273740390C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761-4961-892E-2273740390C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761-4961-892E-2273740390C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761-4961-892E-2273740390C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761-4961-892E-2273740390C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761-4961-892E-2273740390C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761-4961-892E-2273740390C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761-4961-892E-2273740390C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761-4961-892E-2273740390C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761-4961-892E-2273740390C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761-4961-892E-2273740390C6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761-4961-892E-2273740390C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'27-02-KISAASI RBT-KYEBANDO 2DIR'!$C$9:$N$9</c:f>
              <c:strCache>
                <c:ptCount val="12"/>
                <c:pt idx="0">
                  <c:v>1.Motorcycles</c:v>
                </c:pt>
                <c:pt idx="1">
                  <c:v>1. Car</c:v>
                </c:pt>
                <c:pt idx="2">
                  <c:v>2. Station Wagon</c:v>
                </c:pt>
                <c:pt idx="3">
                  <c:v>3. Pickups</c:v>
                </c:pt>
                <c:pt idx="4">
                  <c:v>4. Minibus matatu</c:v>
                </c:pt>
                <c:pt idx="5">
                  <c:v>5. Medium bus </c:v>
                </c:pt>
                <c:pt idx="6">
                  <c:v>6. Large Bus</c:v>
                </c:pt>
                <c:pt idx="7">
                  <c:v>7. Light Truck </c:v>
                </c:pt>
                <c:pt idx="8">
                  <c:v>8. Medium Truck </c:v>
                </c:pt>
                <c:pt idx="9">
                  <c:v>9. Heavy truck </c:v>
                </c:pt>
                <c:pt idx="10">
                  <c:v>10. Truck Trailer </c:v>
                </c:pt>
                <c:pt idx="11">
                  <c:v>12. Tractors</c:v>
                </c:pt>
              </c:strCache>
            </c:strRef>
          </c:cat>
          <c:val>
            <c:numRef>
              <c:f>'[1]Avg Week Munyonyo-Kibuye-2Dir'!$C$107:$N$107</c:f>
              <c:numCache>
                <c:formatCode>General</c:formatCode>
                <c:ptCount val="12"/>
                <c:pt idx="0">
                  <c:v>0.12930183209716614</c:v>
                </c:pt>
                <c:pt idx="1">
                  <c:v>4.7988984766631639E-2</c:v>
                </c:pt>
                <c:pt idx="2">
                  <c:v>1.3401469889907276E-2</c:v>
                </c:pt>
                <c:pt idx="3">
                  <c:v>0.15237739492909838</c:v>
                </c:pt>
                <c:pt idx="4">
                  <c:v>1.6530797551375614E-3</c:v>
                </c:pt>
                <c:pt idx="5">
                  <c:v>3.3379495055662294E-4</c:v>
                </c:pt>
                <c:pt idx="6">
                  <c:v>1.1366910191276423E-2</c:v>
                </c:pt>
                <c:pt idx="7">
                  <c:v>2.1160215615643068E-3</c:v>
                </c:pt>
                <c:pt idx="8">
                  <c:v>1.8398459774728146E-3</c:v>
                </c:pt>
                <c:pt idx="9">
                  <c:v>1.4106810410428709E-4</c:v>
                </c:pt>
                <c:pt idx="10">
                  <c:v>0.63936435904415434</c:v>
                </c:pt>
                <c:pt idx="11">
                  <c:v>1.1523873293026267E-4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761-4961-892E-2273740390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Excluding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8.5621349354452078E-2"/>
          <c:y val="0.20025731425750379"/>
          <c:w val="0.83261086583830202"/>
          <c:h val="0.76871916342946045"/>
        </c:manualLayout>
      </c:layout>
      <c:pie3DChart>
        <c:varyColors val="1"/>
        <c:ser>
          <c:idx val="0"/>
          <c:order val="0"/>
          <c:tx>
            <c:strRef>
              <c:f>'27-02-KISAASI RBT-KYEBANDO 2DIR'!$D$19:$N$19</c:f>
              <c:strCache>
                <c:ptCount val="11"/>
                <c:pt idx="0">
                  <c:v>46%</c:v>
                </c:pt>
                <c:pt idx="1">
                  <c:v>7%</c:v>
                </c:pt>
                <c:pt idx="2">
                  <c:v>7%</c:v>
                </c:pt>
                <c:pt idx="3">
                  <c:v>19%</c:v>
                </c:pt>
                <c:pt idx="4">
                  <c:v>1%</c:v>
                </c:pt>
                <c:pt idx="5">
                  <c:v>0%</c:v>
                </c:pt>
                <c:pt idx="6">
                  <c:v>7%</c:v>
                </c:pt>
                <c:pt idx="7">
                  <c:v>6%</c:v>
                </c:pt>
                <c:pt idx="8">
                  <c:v>3%</c:v>
                </c:pt>
                <c:pt idx="9">
                  <c:v>3%</c:v>
                </c:pt>
                <c:pt idx="10">
                  <c:v>0%</c:v>
                </c:pt>
              </c:strCache>
            </c:strRef>
          </c:tx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DE3-4CB0-B309-A60D2B93A40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DE3-4CB0-B309-A60D2B93A40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DE3-4CB0-B309-A60D2B93A40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DE3-4CB0-B309-A60D2B93A40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DE3-4CB0-B309-A60D2B93A40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DE3-4CB0-B309-A60D2B93A40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DE3-4CB0-B309-A60D2B93A40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DE3-4CB0-B309-A60D2B93A40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DE3-4CB0-B309-A60D2B93A40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DE3-4CB0-B309-A60D2B93A40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DE3-4CB0-B309-A60D2B93A40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DE3-4CB0-B309-A60D2B93A40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DE3-4CB0-B309-A60D2B93A40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'27-02-KISAASI RBT-KYEBANDO 2DIR'!$C$9:$N$9</c:f>
              <c:strCache>
                <c:ptCount val="12"/>
                <c:pt idx="0">
                  <c:v>1.Motorcycles</c:v>
                </c:pt>
                <c:pt idx="1">
                  <c:v>1. Car</c:v>
                </c:pt>
                <c:pt idx="2">
                  <c:v>2. Station Wagon</c:v>
                </c:pt>
                <c:pt idx="3">
                  <c:v>3. Pickups</c:v>
                </c:pt>
                <c:pt idx="4">
                  <c:v>4. Minibus matatu</c:v>
                </c:pt>
                <c:pt idx="5">
                  <c:v>5. Medium bus </c:v>
                </c:pt>
                <c:pt idx="6">
                  <c:v>6. Large Bus</c:v>
                </c:pt>
                <c:pt idx="7">
                  <c:v>7. Light Truck </c:v>
                </c:pt>
                <c:pt idx="8">
                  <c:v>8. Medium Truck </c:v>
                </c:pt>
                <c:pt idx="9">
                  <c:v>9. Heavy truck </c:v>
                </c:pt>
                <c:pt idx="10">
                  <c:v>10. Truck Trailer </c:v>
                </c:pt>
                <c:pt idx="11">
                  <c:v>12. Tractors</c:v>
                </c:pt>
              </c:strCache>
            </c:strRef>
          </c:cat>
          <c:val>
            <c:numRef>
              <c:f>'[1]Avg Week Munyonyo-Kibuye-2Dir'!$C$108:$N$108</c:f>
              <c:numCache>
                <c:formatCode>General</c:formatCode>
                <c:ptCount val="12"/>
                <c:pt idx="0">
                  <c:v>0.35853869505093411</c:v>
                </c:pt>
                <c:pt idx="1">
                  <c:v>0.13306778176288778</c:v>
                </c:pt>
                <c:pt idx="2">
                  <c:v>3.7160691756331646E-2</c:v>
                </c:pt>
                <c:pt idx="3">
                  <c:v>0.42252450291721066</c:v>
                </c:pt>
                <c:pt idx="4">
                  <c:v>4.5837947429604037E-3</c:v>
                </c:pt>
                <c:pt idx="5">
                  <c:v>9.2557393848238909E-4</c:v>
                </c:pt>
                <c:pt idx="6">
                  <c:v>3.1519098226534203E-2</c:v>
                </c:pt>
                <c:pt idx="7">
                  <c:v>5.8674776457365756E-3</c:v>
                </c:pt>
                <c:pt idx="8">
                  <c:v>5.1016753990160259E-3</c:v>
                </c:pt>
                <c:pt idx="9">
                  <c:v>3.9116517638243829E-4</c:v>
                </c:pt>
                <c:pt idx="10">
                  <c:v>3.9116502739489079E-4</c:v>
                </c:pt>
                <c:pt idx="11">
                  <c:v>3.1954338352368198E-4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DE3-4CB0-B309-A60D2B93A4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317499</xdr:colOff>
      <xdr:row>20</xdr:row>
      <xdr:rowOff>31750</xdr:rowOff>
    </xdr:from>
    <xdr:to>
      <xdr:col>9</xdr:col>
      <xdr:colOff>0</xdr:colOff>
      <xdr:row>35</xdr:row>
      <xdr:rowOff>79375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971549</xdr:colOff>
      <xdr:row>19</xdr:row>
      <xdr:rowOff>253999</xdr:rowOff>
    </xdr:from>
    <xdr:to>
      <xdr:col>22</xdr:col>
      <xdr:colOff>396875</xdr:colOff>
      <xdr:row>39</xdr:row>
      <xdr:rowOff>269875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20</xdr:row>
      <xdr:rowOff>15875</xdr:rowOff>
    </xdr:from>
    <xdr:to>
      <xdr:col>14</xdr:col>
      <xdr:colOff>793750</xdr:colOff>
      <xdr:row>39</xdr:row>
      <xdr:rowOff>269875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317499</xdr:colOff>
      <xdr:row>20</xdr:row>
      <xdr:rowOff>31750</xdr:rowOff>
    </xdr:from>
    <xdr:to>
      <xdr:col>9</xdr:col>
      <xdr:colOff>0</xdr:colOff>
      <xdr:row>39</xdr:row>
      <xdr:rowOff>206375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971549</xdr:colOff>
      <xdr:row>19</xdr:row>
      <xdr:rowOff>253999</xdr:rowOff>
    </xdr:from>
    <xdr:to>
      <xdr:col>22</xdr:col>
      <xdr:colOff>396875</xdr:colOff>
      <xdr:row>39</xdr:row>
      <xdr:rowOff>269875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20</xdr:row>
      <xdr:rowOff>15875</xdr:rowOff>
    </xdr:from>
    <xdr:to>
      <xdr:col>14</xdr:col>
      <xdr:colOff>793750</xdr:colOff>
      <xdr:row>39</xdr:row>
      <xdr:rowOff>269875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47623</xdr:colOff>
      <xdr:row>20</xdr:row>
      <xdr:rowOff>31750</xdr:rowOff>
    </xdr:from>
    <xdr:to>
      <xdr:col>9</xdr:col>
      <xdr:colOff>970123</xdr:colOff>
      <xdr:row>35</xdr:row>
      <xdr:rowOff>245500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177798</xdr:colOff>
      <xdr:row>20</xdr:row>
      <xdr:rowOff>31749</xdr:rowOff>
    </xdr:from>
    <xdr:to>
      <xdr:col>22</xdr:col>
      <xdr:colOff>609173</xdr:colOff>
      <xdr:row>35</xdr:row>
      <xdr:rowOff>245499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1047750</xdr:colOff>
      <xdr:row>20</xdr:row>
      <xdr:rowOff>31750</xdr:rowOff>
    </xdr:from>
    <xdr:to>
      <xdr:col>15</xdr:col>
      <xdr:colOff>82125</xdr:colOff>
      <xdr:row>35</xdr:row>
      <xdr:rowOff>245500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R.O/Desktop/STN-C1-RD-1A-SALAMA%20ROAD/MCC%20DATA/MCC-C1-STN1A-%20SALAMA%20Roa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2.07 Kibuye-Munyonyo"/>
      <sheetName val="22.07 Munyonyo-Kibuye"/>
      <sheetName val="23.07 Kibuye-Munyonyo"/>
      <sheetName val="23.07 Munyonyo-Kibuye"/>
      <sheetName val="24.07 Kibuye-Munyonyo"/>
      <sheetName val="24.07 Munyonyo-Kibuye"/>
      <sheetName val="25.07 Kibuye-Munyonyo"/>
      <sheetName val="25.07 Munyonyo-Kibuye"/>
      <sheetName val="26.07 Kibuye-Munyonyo-24h"/>
      <sheetName val="26.07 Munyonyo-Kibuye-24h"/>
      <sheetName val="27.07 Kibuye-Munyonyo-24h"/>
      <sheetName val="27.07 Munyonyo-Kibuye-24h"/>
      <sheetName val="28.07 Kibuye-Munyonyo"/>
      <sheetName val="28.07 Munyonyo-Kibuye"/>
      <sheetName val="Avg Week Kibuye-Munyonyo"/>
      <sheetName val="Avg Week Munyonyo-Kibuye"/>
      <sheetName val="proportions"/>
      <sheetName val="Avg Week Munyonyo-Kibuye-2Di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107">
          <cell r="C107">
            <v>0.12930183209716614</v>
          </cell>
          <cell r="D107">
            <v>4.7988984766631639E-2</v>
          </cell>
          <cell r="E107">
            <v>1.3401469889907276E-2</v>
          </cell>
          <cell r="F107">
            <v>0.15237739492909838</v>
          </cell>
          <cell r="G107">
            <v>1.6530797551375614E-3</v>
          </cell>
          <cell r="H107">
            <v>3.3379495055662294E-4</v>
          </cell>
          <cell r="I107">
            <v>1.1366910191276423E-2</v>
          </cell>
          <cell r="J107">
            <v>2.1160215615643068E-3</v>
          </cell>
          <cell r="K107">
            <v>1.8398459774728146E-3</v>
          </cell>
          <cell r="L107">
            <v>1.4106810410428709E-4</v>
          </cell>
          <cell r="M107">
            <v>0.63936435904415434</v>
          </cell>
          <cell r="N107">
            <v>1.1523873293026267E-4</v>
          </cell>
        </row>
        <row r="108">
          <cell r="C108">
            <v>0.35853869505093411</v>
          </cell>
          <cell r="D108">
            <v>0.13306778176288778</v>
          </cell>
          <cell r="E108">
            <v>3.7160691756331646E-2</v>
          </cell>
          <cell r="F108">
            <v>0.42252450291721066</v>
          </cell>
          <cell r="G108">
            <v>4.5837947429604037E-3</v>
          </cell>
          <cell r="H108">
            <v>9.2557393848238909E-4</v>
          </cell>
          <cell r="I108">
            <v>3.1519098226534203E-2</v>
          </cell>
          <cell r="J108">
            <v>5.8674776457365756E-3</v>
          </cell>
          <cell r="K108">
            <v>5.1016753990160259E-3</v>
          </cell>
          <cell r="L108">
            <v>3.9116517638243829E-4</v>
          </cell>
          <cell r="M108">
            <v>3.9116502739489079E-4</v>
          </cell>
          <cell r="N108">
            <v>3.1954338352368198E-4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2" tint="-0.249977111117893"/>
  </sheetPr>
  <dimension ref="B1:AD151"/>
  <sheetViews>
    <sheetView view="pageBreakPreview" topLeftCell="A7" zoomScale="60" workbookViewId="0">
      <selection activeCell="D10" sqref="D10:N16"/>
    </sheetView>
  </sheetViews>
  <sheetFormatPr defaultColWidth="15" defaultRowHeight="20.100000000000001" customHeight="1" x14ac:dyDescent="0.25"/>
  <cols>
    <col min="1" max="1" width="4.85546875" customWidth="1"/>
    <col min="2" max="2" width="19.570312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5.7109375" customWidth="1"/>
    <col min="10" max="10" width="18.42578125" customWidth="1"/>
    <col min="11" max="11" width="20.42578125" customWidth="1"/>
    <col min="12" max="12" width="19.28515625" customWidth="1"/>
    <col min="13" max="13" width="14.5703125" customWidth="1"/>
    <col min="14" max="14" width="16.28515625" customWidth="1"/>
    <col min="15" max="15" width="14.85546875" customWidth="1"/>
    <col min="16" max="16" width="14.28515625" customWidth="1"/>
    <col min="17" max="17" width="14.7109375" customWidth="1"/>
    <col min="18" max="19" width="10.7109375" style="2" customWidth="1"/>
    <col min="20" max="32" width="10.7109375" customWidth="1"/>
  </cols>
  <sheetData>
    <row r="1" spans="2:30" ht="23.25" customHeight="1" x14ac:dyDescent="0.3">
      <c r="B1" s="29" t="s">
        <v>0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</row>
    <row r="2" spans="2:30" ht="20.100000000000001" customHeight="1" x14ac:dyDescent="0.25">
      <c r="B2" s="30" t="s">
        <v>25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</row>
    <row r="3" spans="2:30" ht="20.100000000000001" customHeight="1" x14ac:dyDescent="0.25">
      <c r="B3" s="1" t="s">
        <v>1</v>
      </c>
      <c r="C3" s="33" t="s">
        <v>29</v>
      </c>
      <c r="D3" s="33"/>
      <c r="E3" s="33"/>
      <c r="F3" s="33"/>
      <c r="G3" s="15"/>
      <c r="H3" s="15"/>
      <c r="I3" s="15"/>
      <c r="J3" s="15"/>
      <c r="K3" s="1"/>
      <c r="L3" s="1"/>
      <c r="M3" s="1"/>
      <c r="N3" s="1"/>
      <c r="O3" s="1"/>
      <c r="P3" s="1"/>
    </row>
    <row r="4" spans="2:30" ht="20.100000000000001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2:30" ht="20.100000000000001" customHeight="1" x14ac:dyDescent="0.25">
      <c r="C5" s="3" t="s">
        <v>2</v>
      </c>
      <c r="D5" s="32" t="s">
        <v>31</v>
      </c>
      <c r="E5" s="32"/>
      <c r="F5" s="4" t="s">
        <v>3</v>
      </c>
      <c r="G5" s="34"/>
      <c r="H5" s="35"/>
      <c r="I5" s="5"/>
      <c r="J5" s="3" t="s">
        <v>4</v>
      </c>
      <c r="K5" s="34" t="s">
        <v>14</v>
      </c>
      <c r="L5" s="35"/>
      <c r="M5" s="2"/>
      <c r="N5" s="2"/>
    </row>
    <row r="6" spans="2:30" ht="23.25" customHeight="1" x14ac:dyDescent="0.25">
      <c r="C6" s="3" t="s">
        <v>5</v>
      </c>
      <c r="D6" s="36" t="s">
        <v>27</v>
      </c>
      <c r="E6" s="37"/>
      <c r="F6" s="3" t="s">
        <v>6</v>
      </c>
      <c r="G6" s="36" t="s">
        <v>30</v>
      </c>
      <c r="H6" s="37"/>
      <c r="J6" s="3" t="s">
        <v>7</v>
      </c>
      <c r="K6" s="36" t="s">
        <v>13</v>
      </c>
      <c r="L6" s="37"/>
      <c r="M6" s="2"/>
      <c r="N6" s="2"/>
    </row>
    <row r="7" spans="2:30" ht="20.100000000000001" customHeight="1" x14ac:dyDescent="0.25">
      <c r="D7" s="2"/>
      <c r="E7" s="2"/>
      <c r="R7"/>
      <c r="S7"/>
    </row>
    <row r="8" spans="2:30" ht="50.25" customHeight="1" x14ac:dyDescent="0.25">
      <c r="C8" s="31" t="s">
        <v>9</v>
      </c>
      <c r="D8" s="31"/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R8"/>
      <c r="S8"/>
    </row>
    <row r="9" spans="2:30" ht="98.25" customHeight="1" x14ac:dyDescent="0.25">
      <c r="B9" s="14" t="s">
        <v>8</v>
      </c>
      <c r="C9" s="26" t="s">
        <v>15</v>
      </c>
      <c r="D9" s="26" t="s">
        <v>33</v>
      </c>
      <c r="E9" s="26" t="s">
        <v>34</v>
      </c>
      <c r="F9" s="26" t="s">
        <v>35</v>
      </c>
      <c r="G9" s="26" t="s">
        <v>36</v>
      </c>
      <c r="H9" s="26" t="s">
        <v>37</v>
      </c>
      <c r="I9" s="26" t="s">
        <v>38</v>
      </c>
      <c r="J9" s="26" t="s">
        <v>39</v>
      </c>
      <c r="K9" s="26" t="s">
        <v>40</v>
      </c>
      <c r="L9" s="26" t="s">
        <v>41</v>
      </c>
      <c r="M9" s="26" t="s">
        <v>42</v>
      </c>
      <c r="N9" s="26" t="s">
        <v>43</v>
      </c>
      <c r="O9" s="7" t="s">
        <v>10</v>
      </c>
      <c r="P9" s="7" t="s">
        <v>24</v>
      </c>
      <c r="R9"/>
      <c r="S9"/>
    </row>
    <row r="10" spans="2:30" ht="23.1" customHeight="1" x14ac:dyDescent="0.25">
      <c r="B10" s="6" t="s">
        <v>16</v>
      </c>
      <c r="C10" s="23">
        <v>3107</v>
      </c>
      <c r="D10" s="8">
        <f>$O10*D$20</f>
        <v>6191.8713919168968</v>
      </c>
      <c r="E10" s="8">
        <f t="shared" ref="E10:N16" si="0">$O10*E$20</f>
        <v>958.16644533254521</v>
      </c>
      <c r="F10" s="8">
        <f t="shared" si="0"/>
        <v>875.19788514469622</v>
      </c>
      <c r="G10" s="8">
        <f t="shared" si="0"/>
        <v>2531.2470244296883</v>
      </c>
      <c r="H10" s="8">
        <f t="shared" si="0"/>
        <v>161.82606559161522</v>
      </c>
      <c r="I10" s="8">
        <f t="shared" si="0"/>
        <v>54.0665992815712</v>
      </c>
      <c r="J10" s="8">
        <f t="shared" si="0"/>
        <v>979.67681278865416</v>
      </c>
      <c r="K10" s="8">
        <f t="shared" si="0"/>
        <v>808.59049248137808</v>
      </c>
      <c r="L10" s="8">
        <f t="shared" si="0"/>
        <v>358.49228233318297</v>
      </c>
      <c r="M10" s="8">
        <f t="shared" si="0"/>
        <v>432.2421136112709</v>
      </c>
      <c r="N10" s="8">
        <f t="shared" si="0"/>
        <v>0.62288708849736407</v>
      </c>
      <c r="O10" s="9">
        <v>13352</v>
      </c>
      <c r="P10" s="9">
        <f>SUM(C10:N10)</f>
        <v>16458.999999999996</v>
      </c>
      <c r="R10"/>
      <c r="S10"/>
    </row>
    <row r="11" spans="2:30" s="10" customFormat="1" ht="23.1" customHeight="1" x14ac:dyDescent="0.25">
      <c r="B11" s="6" t="s">
        <v>20</v>
      </c>
      <c r="C11" s="22">
        <v>3366</v>
      </c>
      <c r="D11" s="8">
        <f t="shared" ref="D11:D16" si="1">$O11*D$20</f>
        <v>5984.1153715769651</v>
      </c>
      <c r="E11" s="8">
        <f t="shared" si="0"/>
        <v>926.01706190616858</v>
      </c>
      <c r="F11" s="8">
        <f t="shared" si="0"/>
        <v>845.83234795589874</v>
      </c>
      <c r="G11" s="8">
        <f t="shared" si="0"/>
        <v>2446.3160278041264</v>
      </c>
      <c r="H11" s="8">
        <f t="shared" si="0"/>
        <v>156.39631144354425</v>
      </c>
      <c r="I11" s="8">
        <f t="shared" si="0"/>
        <v>52.25250128290854</v>
      </c>
      <c r="J11" s="8">
        <f t="shared" si="0"/>
        <v>946.80569144883123</v>
      </c>
      <c r="K11" s="8">
        <f t="shared" si="0"/>
        <v>781.45983485468116</v>
      </c>
      <c r="L11" s="8">
        <f t="shared" si="0"/>
        <v>346.46378154788744</v>
      </c>
      <c r="M11" s="8">
        <f t="shared" si="0"/>
        <v>417.73908283701616</v>
      </c>
      <c r="N11" s="8">
        <f t="shared" si="0"/>
        <v>0.6019873419689924</v>
      </c>
      <c r="O11" s="9">
        <v>12904</v>
      </c>
      <c r="P11" s="9">
        <f t="shared" ref="P11:P16" si="2">SUM(C11:N11)</f>
        <v>16269.999999999995</v>
      </c>
    </row>
    <row r="12" spans="2:30" ht="23.1" customHeight="1" x14ac:dyDescent="0.25">
      <c r="B12" s="6" t="s">
        <v>21</v>
      </c>
      <c r="C12" s="6">
        <v>3216</v>
      </c>
      <c r="D12" s="8">
        <f t="shared" si="1"/>
        <v>5505.534539008193</v>
      </c>
      <c r="E12" s="8">
        <f t="shared" si="0"/>
        <v>851.95866079897974</v>
      </c>
      <c r="F12" s="8">
        <f t="shared" si="0"/>
        <v>778.18673550313315</v>
      </c>
      <c r="G12" s="8">
        <f t="shared" si="0"/>
        <v>2250.6714105773858</v>
      </c>
      <c r="H12" s="8">
        <f t="shared" si="0"/>
        <v>143.88848492388075</v>
      </c>
      <c r="I12" s="8">
        <f t="shared" si="0"/>
        <v>48.073596964560615</v>
      </c>
      <c r="J12" s="8">
        <f t="shared" si="0"/>
        <v>871.08471550531021</v>
      </c>
      <c r="K12" s="8">
        <f t="shared" si="0"/>
        <v>718.96242710746867</v>
      </c>
      <c r="L12" s="8">
        <f t="shared" si="0"/>
        <v>318.75527081033169</v>
      </c>
      <c r="M12" s="8">
        <f t="shared" si="0"/>
        <v>384.33031551775076</v>
      </c>
      <c r="N12" s="8">
        <f t="shared" si="0"/>
        <v>0.55384328300185037</v>
      </c>
      <c r="O12" s="9">
        <v>11872</v>
      </c>
      <c r="P12" s="9">
        <f t="shared" si="2"/>
        <v>15087.999999999998</v>
      </c>
      <c r="R12"/>
      <c r="S12"/>
    </row>
    <row r="13" spans="2:30" ht="23.1" customHeight="1" x14ac:dyDescent="0.25">
      <c r="B13" s="6" t="s">
        <v>17</v>
      </c>
      <c r="C13" s="6">
        <v>3261</v>
      </c>
      <c r="D13" s="8">
        <f t="shared" si="1"/>
        <v>6014.258544170928</v>
      </c>
      <c r="E13" s="8">
        <f t="shared" si="0"/>
        <v>930.68159298365629</v>
      </c>
      <c r="F13" s="8">
        <f t="shared" si="0"/>
        <v>850.09297277123767</v>
      </c>
      <c r="G13" s="8">
        <f t="shared" si="0"/>
        <v>2458.6386054395316</v>
      </c>
      <c r="H13" s="8">
        <f t="shared" si="0"/>
        <v>157.18411059449204</v>
      </c>
      <c r="I13" s="8">
        <f t="shared" si="0"/>
        <v>52.515707465750218</v>
      </c>
      <c r="J13" s="8">
        <f t="shared" si="0"/>
        <v>951.57493896465371</v>
      </c>
      <c r="K13" s="8">
        <f t="shared" si="0"/>
        <v>785.3962025906975</v>
      </c>
      <c r="L13" s="8">
        <f t="shared" si="0"/>
        <v>348.2089881350397</v>
      </c>
      <c r="M13" s="8">
        <f t="shared" si="0"/>
        <v>419.84331721274509</v>
      </c>
      <c r="N13" s="8">
        <f t="shared" si="0"/>
        <v>0.60501967126440348</v>
      </c>
      <c r="O13" s="9">
        <v>12969</v>
      </c>
      <c r="P13" s="9">
        <f t="shared" si="2"/>
        <v>16229.999999999993</v>
      </c>
      <c r="R13"/>
      <c r="S13"/>
    </row>
    <row r="14" spans="2:30" ht="23.1" customHeight="1" x14ac:dyDescent="0.25">
      <c r="B14" s="6" t="s">
        <v>18</v>
      </c>
      <c r="C14" s="6">
        <v>3180</v>
      </c>
      <c r="D14" s="8">
        <f t="shared" si="1"/>
        <v>6165.4381482575754</v>
      </c>
      <c r="E14" s="8">
        <f t="shared" si="0"/>
        <v>954.07601038767143</v>
      </c>
      <c r="F14" s="8">
        <f t="shared" si="0"/>
        <v>871.46164492201444</v>
      </c>
      <c r="G14" s="8">
        <f t="shared" si="0"/>
        <v>2520.4410717340252</v>
      </c>
      <c r="H14" s="8">
        <f t="shared" si="0"/>
        <v>161.13522633616867</v>
      </c>
      <c r="I14" s="8">
        <f t="shared" si="0"/>
        <v>53.835787705848496</v>
      </c>
      <c r="J14" s="8">
        <f t="shared" si="0"/>
        <v>975.49454958247134</v>
      </c>
      <c r="K14" s="8">
        <f t="shared" si="0"/>
        <v>805.13860077440995</v>
      </c>
      <c r="L14" s="8">
        <f t="shared" si="0"/>
        <v>356.96187040291102</v>
      </c>
      <c r="M14" s="8">
        <f t="shared" si="0"/>
        <v>430.39686192793937</v>
      </c>
      <c r="N14" s="8">
        <f t="shared" si="0"/>
        <v>0.62022796896138821</v>
      </c>
      <c r="O14" s="9">
        <v>13295</v>
      </c>
      <c r="P14" s="9">
        <f t="shared" si="2"/>
        <v>16474.999999999996</v>
      </c>
      <c r="R14"/>
      <c r="S14"/>
    </row>
    <row r="15" spans="2:30" ht="23.1" customHeight="1" x14ac:dyDescent="0.25">
      <c r="B15" s="6" t="s">
        <v>19</v>
      </c>
      <c r="C15" s="6">
        <v>3546</v>
      </c>
      <c r="D15" s="8">
        <f t="shared" si="1"/>
        <v>6410.2934579439234</v>
      </c>
      <c r="E15" s="8">
        <f t="shared" si="0"/>
        <v>991.96635514018669</v>
      </c>
      <c r="F15" s="8">
        <f t="shared" si="0"/>
        <v>906.07102803738292</v>
      </c>
      <c r="G15" s="8">
        <f t="shared" si="0"/>
        <v>2620.5383177570088</v>
      </c>
      <c r="H15" s="8">
        <f t="shared" si="0"/>
        <v>167.53457943925233</v>
      </c>
      <c r="I15" s="8">
        <f t="shared" si="0"/>
        <v>55.973831775700923</v>
      </c>
      <c r="J15" s="8">
        <f t="shared" si="0"/>
        <v>1014.2355140186913</v>
      </c>
      <c r="K15" s="8">
        <f t="shared" si="0"/>
        <v>837.11401869158851</v>
      </c>
      <c r="L15" s="8">
        <f t="shared" si="0"/>
        <v>371.1383177570093</v>
      </c>
      <c r="M15" s="8">
        <f t="shared" si="0"/>
        <v>447.48971962616821</v>
      </c>
      <c r="N15" s="8">
        <f t="shared" si="0"/>
        <v>0.644859813084112</v>
      </c>
      <c r="O15" s="9">
        <v>13823</v>
      </c>
      <c r="P15" s="9">
        <f t="shared" si="2"/>
        <v>17369</v>
      </c>
      <c r="R15"/>
      <c r="S15"/>
    </row>
    <row r="16" spans="2:30" ht="23.1" customHeight="1" x14ac:dyDescent="0.25">
      <c r="B16" s="6" t="s">
        <v>22</v>
      </c>
      <c r="C16" s="6">
        <v>3888</v>
      </c>
      <c r="D16" s="8">
        <f t="shared" si="1"/>
        <v>5630.2808994355182</v>
      </c>
      <c r="E16" s="8">
        <f t="shared" si="0"/>
        <v>871.26264325812099</v>
      </c>
      <c r="F16" s="8">
        <f t="shared" si="0"/>
        <v>795.81916743122804</v>
      </c>
      <c r="G16" s="8">
        <f t="shared" si="0"/>
        <v>2301.6679241762167</v>
      </c>
      <c r="H16" s="8">
        <f t="shared" si="0"/>
        <v>147.14876141011086</v>
      </c>
      <c r="I16" s="8">
        <f t="shared" si="0"/>
        <v>49.162865628936189</v>
      </c>
      <c r="J16" s="8">
        <f t="shared" si="0"/>
        <v>890.82206291694513</v>
      </c>
      <c r="K16" s="8">
        <f t="shared" si="0"/>
        <v>735.252933584213</v>
      </c>
      <c r="L16" s="8">
        <f t="shared" si="0"/>
        <v>325.977741147931</v>
      </c>
      <c r="M16" s="8">
        <f t="shared" si="0"/>
        <v>393.03860854961357</v>
      </c>
      <c r="N16" s="8">
        <f t="shared" si="0"/>
        <v>0.56639246116285935</v>
      </c>
      <c r="O16" s="9">
        <v>12141</v>
      </c>
      <c r="P16" s="9">
        <f t="shared" si="2"/>
        <v>16028.999999999996</v>
      </c>
      <c r="R16"/>
      <c r="S16"/>
    </row>
    <row r="17" spans="2:19" ht="37.5" customHeight="1" x14ac:dyDescent="0.25">
      <c r="B17" s="16" t="s">
        <v>23</v>
      </c>
      <c r="C17" s="11">
        <f>AVERAGE(C10:C16)</f>
        <v>3366.2857142857142</v>
      </c>
      <c r="D17" s="11">
        <f t="shared" ref="D17:N17" si="3">AVERAGE(D10:D16)</f>
        <v>5985.9703360442863</v>
      </c>
      <c r="E17" s="11">
        <f t="shared" si="3"/>
        <v>926.30410997247543</v>
      </c>
      <c r="F17" s="11">
        <f t="shared" si="3"/>
        <v>846.09454025222749</v>
      </c>
      <c r="G17" s="11">
        <f t="shared" si="3"/>
        <v>2447.0743402739977</v>
      </c>
      <c r="H17" s="11">
        <f t="shared" si="3"/>
        <v>156.44479139129484</v>
      </c>
      <c r="I17" s="11">
        <f t="shared" si="3"/>
        <v>52.268698586468027</v>
      </c>
      <c r="J17" s="11">
        <f t="shared" si="3"/>
        <v>947.099183603651</v>
      </c>
      <c r="K17" s="11">
        <f t="shared" si="3"/>
        <v>781.70207286920515</v>
      </c>
      <c r="L17" s="11">
        <f t="shared" si="3"/>
        <v>346.57117887632756</v>
      </c>
      <c r="M17" s="11">
        <f t="shared" si="3"/>
        <v>417.86857418321489</v>
      </c>
      <c r="N17" s="11">
        <f t="shared" si="3"/>
        <v>0.60217394684871006</v>
      </c>
      <c r="O17" s="12">
        <f>AVERAGE(O10:O16)</f>
        <v>12908</v>
      </c>
      <c r="P17" s="12">
        <f>AVERAGE(P10:P16)</f>
        <v>16274.285714285712</v>
      </c>
      <c r="R17"/>
      <c r="S17"/>
    </row>
    <row r="18" spans="2:19" ht="23.1" customHeight="1" x14ac:dyDescent="0.25">
      <c r="B18" s="18" t="s">
        <v>11</v>
      </c>
      <c r="C18" s="17">
        <f>C$17/P$17</f>
        <v>0.20684691011235959</v>
      </c>
      <c r="D18" s="17">
        <f>D17/$P$17</f>
        <v>0.36781769972182243</v>
      </c>
      <c r="E18" s="17">
        <f>E17/$P$17</f>
        <v>5.6918265184404224E-2</v>
      </c>
      <c r="F18" s="17">
        <f t="shared" ref="F18:N18" si="4">F17/$P$17</f>
        <v>5.1989657494431123E-2</v>
      </c>
      <c r="G18" s="17">
        <f t="shared" si="4"/>
        <v>0.15036446964464525</v>
      </c>
      <c r="H18" s="17">
        <f t="shared" si="4"/>
        <v>9.613005089001616E-3</v>
      </c>
      <c r="I18" s="17">
        <f t="shared" si="4"/>
        <v>3.2117353415140118E-3</v>
      </c>
      <c r="J18" s="17">
        <f t="shared" si="4"/>
        <v>5.8196052363286149E-2</v>
      </c>
      <c r="K18" s="17">
        <f t="shared" si="4"/>
        <v>4.8032957427005238E-2</v>
      </c>
      <c r="L18" s="17">
        <f t="shared" si="4"/>
        <v>2.1295630724493444E-2</v>
      </c>
      <c r="M18" s="17">
        <f t="shared" si="4"/>
        <v>2.5676615337802886E-2</v>
      </c>
      <c r="N18" s="17">
        <f t="shared" si="4"/>
        <v>3.7001559234032401E-5</v>
      </c>
      <c r="O18" s="12">
        <f>SUM(O10:O16)</f>
        <v>90356</v>
      </c>
      <c r="P18" s="12">
        <f>SUM(P10:P16)</f>
        <v>113919.99999999999</v>
      </c>
      <c r="R18"/>
      <c r="S18"/>
    </row>
    <row r="19" spans="2:19" ht="23.1" customHeight="1" x14ac:dyDescent="0.25">
      <c r="B19" s="19" t="s">
        <v>12</v>
      </c>
      <c r="C19" s="17"/>
      <c r="D19" s="17">
        <f t="shared" ref="D19:N19" si="5">D$17/$O$17</f>
        <v>0.46374111683020502</v>
      </c>
      <c r="E19" s="17">
        <f t="shared" si="5"/>
        <v>7.1762016576733451E-2</v>
      </c>
      <c r="F19" s="17">
        <f t="shared" si="5"/>
        <v>6.5548074082137239E-2</v>
      </c>
      <c r="G19" s="17">
        <f t="shared" si="5"/>
        <v>0.18957811746777176</v>
      </c>
      <c r="H19" s="17">
        <f t="shared" si="5"/>
        <v>1.2119986937658417E-2</v>
      </c>
      <c r="I19" s="17">
        <f t="shared" si="5"/>
        <v>4.0493258898720193E-3</v>
      </c>
      <c r="J19" s="17">
        <f t="shared" si="5"/>
        <v>7.3373038704962118E-2</v>
      </c>
      <c r="K19" s="17">
        <f t="shared" si="5"/>
        <v>6.0559503631019924E-2</v>
      </c>
      <c r="L19" s="17">
        <f t="shared" si="5"/>
        <v>2.6849332110034672E-2</v>
      </c>
      <c r="M19" s="17">
        <f t="shared" si="5"/>
        <v>3.2372836549675772E-2</v>
      </c>
      <c r="N19" s="17">
        <f t="shared" si="5"/>
        <v>4.6651219929401152E-5</v>
      </c>
      <c r="O19" s="12"/>
      <c r="P19" s="12"/>
      <c r="R19"/>
      <c r="S19"/>
    </row>
    <row r="20" spans="2:19" ht="23.1" customHeight="1" x14ac:dyDescent="0.25">
      <c r="D20" s="24">
        <v>0.46374111683020497</v>
      </c>
      <c r="E20" s="24">
        <v>7.1762016576733464E-2</v>
      </c>
      <c r="F20" s="25">
        <v>6.5548074082137225E-2</v>
      </c>
      <c r="G20" s="25">
        <v>0.18957811746777173</v>
      </c>
      <c r="H20" s="25">
        <v>1.2119986937658419E-2</v>
      </c>
      <c r="I20" s="25">
        <v>4.0493258898720193E-3</v>
      </c>
      <c r="J20" s="25">
        <v>7.3373038704962118E-2</v>
      </c>
      <c r="K20" s="25">
        <v>6.0559503631019931E-2</v>
      </c>
      <c r="L20" s="25">
        <v>2.6849332110034676E-2</v>
      </c>
      <c r="M20" s="25">
        <v>3.2372836549675772E-2</v>
      </c>
      <c r="N20" s="25">
        <v>4.6651219929401145E-5</v>
      </c>
      <c r="R20"/>
      <c r="S20"/>
    </row>
    <row r="21" spans="2:19" ht="23.1" customHeight="1" x14ac:dyDescent="0.25">
      <c r="D21" s="2"/>
      <c r="E21" s="2"/>
      <c r="R21"/>
      <c r="S21"/>
    </row>
    <row r="22" spans="2:19" ht="23.1" customHeight="1" x14ac:dyDescent="0.25">
      <c r="D22" s="2"/>
      <c r="E22" s="2"/>
      <c r="R22"/>
      <c r="S22"/>
    </row>
    <row r="23" spans="2:19" ht="23.1" customHeight="1" x14ac:dyDescent="0.25">
      <c r="C23" s="2"/>
      <c r="D23" s="2"/>
      <c r="R23"/>
      <c r="S23"/>
    </row>
    <row r="24" spans="2:19" ht="23.1" customHeight="1" x14ac:dyDescent="0.25">
      <c r="C24" s="2"/>
      <c r="D24" s="2"/>
      <c r="R24"/>
      <c r="S24"/>
    </row>
    <row r="25" spans="2:19" ht="23.1" customHeight="1" x14ac:dyDescent="0.25">
      <c r="C25" s="2"/>
      <c r="D25" s="2"/>
      <c r="R25"/>
      <c r="S25"/>
    </row>
    <row r="26" spans="2:19" ht="23.1" customHeight="1" x14ac:dyDescent="0.25">
      <c r="C26" s="2"/>
      <c r="D26" s="2"/>
      <c r="R26"/>
      <c r="S26"/>
    </row>
    <row r="27" spans="2:19" ht="23.1" customHeight="1" x14ac:dyDescent="0.25">
      <c r="C27" s="2"/>
      <c r="D27" s="2"/>
      <c r="R27"/>
      <c r="S27"/>
    </row>
    <row r="28" spans="2:19" ht="23.1" customHeight="1" x14ac:dyDescent="0.25">
      <c r="C28" s="2"/>
      <c r="D28" s="2"/>
      <c r="R28"/>
      <c r="S28"/>
    </row>
    <row r="29" spans="2:19" ht="23.1" customHeight="1" x14ac:dyDescent="0.25">
      <c r="C29" s="2"/>
      <c r="D29" s="2"/>
      <c r="R29"/>
      <c r="S29"/>
    </row>
    <row r="30" spans="2:19" ht="23.1" customHeight="1" x14ac:dyDescent="0.25">
      <c r="C30" s="2"/>
      <c r="D30" s="2"/>
      <c r="R30"/>
      <c r="S30"/>
    </row>
    <row r="31" spans="2:19" ht="23.1" customHeight="1" x14ac:dyDescent="0.25">
      <c r="C31" s="2"/>
      <c r="D31" s="2"/>
      <c r="R31"/>
      <c r="S31"/>
    </row>
    <row r="32" spans="2:19" ht="23.1" customHeight="1" x14ac:dyDescent="0.25">
      <c r="C32" s="2"/>
      <c r="D32" s="2"/>
      <c r="R32"/>
      <c r="S32"/>
    </row>
    <row r="33" spans="3:19" ht="23.1" customHeight="1" x14ac:dyDescent="0.25">
      <c r="C33" s="2"/>
      <c r="D33" s="2"/>
      <c r="R33"/>
      <c r="S33"/>
    </row>
    <row r="34" spans="3:19" ht="23.1" customHeight="1" x14ac:dyDescent="0.25">
      <c r="C34" s="2"/>
      <c r="D34" s="2"/>
      <c r="R34"/>
      <c r="S34"/>
    </row>
    <row r="35" spans="3:19" ht="23.1" customHeight="1" x14ac:dyDescent="0.25">
      <c r="C35" s="2"/>
      <c r="D35" s="2"/>
      <c r="R35"/>
      <c r="S35"/>
    </row>
    <row r="36" spans="3:19" ht="23.1" customHeight="1" x14ac:dyDescent="0.25">
      <c r="C36" s="2"/>
      <c r="D36" s="2"/>
      <c r="R36"/>
      <c r="S36"/>
    </row>
    <row r="37" spans="3:19" ht="23.1" customHeight="1" x14ac:dyDescent="0.25">
      <c r="C37" s="2"/>
      <c r="D37" s="2"/>
      <c r="R37"/>
      <c r="S37"/>
    </row>
    <row r="38" spans="3:19" ht="23.1" customHeight="1" x14ac:dyDescent="0.25">
      <c r="C38" s="2"/>
      <c r="D38" s="2"/>
      <c r="R38"/>
      <c r="S38"/>
    </row>
    <row r="39" spans="3:19" ht="23.1" customHeight="1" x14ac:dyDescent="0.25">
      <c r="C39" s="2"/>
      <c r="D39" s="2"/>
      <c r="R39"/>
      <c r="S39"/>
    </row>
    <row r="40" spans="3:19" ht="23.1" customHeight="1" x14ac:dyDescent="0.25">
      <c r="C40" s="2"/>
      <c r="D40" s="2"/>
      <c r="R40"/>
      <c r="S40"/>
    </row>
    <row r="41" spans="3:19" ht="23.1" customHeight="1" x14ac:dyDescent="0.25">
      <c r="C41" s="2"/>
      <c r="D41" s="2"/>
      <c r="R41"/>
      <c r="S41"/>
    </row>
    <row r="42" spans="3:19" ht="23.1" customHeight="1" x14ac:dyDescent="0.25">
      <c r="C42" s="2"/>
      <c r="D42" s="2"/>
      <c r="R42"/>
      <c r="S42"/>
    </row>
    <row r="43" spans="3:19" ht="23.1" customHeight="1" x14ac:dyDescent="0.25">
      <c r="C43" s="2"/>
      <c r="D43" s="2"/>
      <c r="R43"/>
      <c r="S43"/>
    </row>
    <row r="44" spans="3:19" ht="23.1" customHeight="1" x14ac:dyDescent="0.25">
      <c r="C44" s="2"/>
      <c r="D44" s="2"/>
      <c r="R44"/>
      <c r="S44"/>
    </row>
    <row r="45" spans="3:19" ht="23.1" customHeight="1" x14ac:dyDescent="0.25">
      <c r="C45" s="2"/>
      <c r="D45" s="2"/>
      <c r="R45"/>
      <c r="S45"/>
    </row>
    <row r="46" spans="3:19" ht="23.1" customHeight="1" x14ac:dyDescent="0.25">
      <c r="C46" s="2"/>
      <c r="D46" s="2"/>
      <c r="R46"/>
      <c r="S46"/>
    </row>
    <row r="47" spans="3:19" ht="23.1" customHeight="1" x14ac:dyDescent="0.25">
      <c r="C47" s="2"/>
      <c r="D47" s="2"/>
      <c r="R47"/>
      <c r="S47"/>
    </row>
    <row r="48" spans="3:19" ht="23.1" customHeight="1" x14ac:dyDescent="0.25">
      <c r="C48" s="2"/>
      <c r="D48" s="2"/>
      <c r="R48"/>
      <c r="S48"/>
    </row>
    <row r="49" spans="3:19" ht="23.1" customHeight="1" x14ac:dyDescent="0.25">
      <c r="C49" s="2"/>
      <c r="D49" s="2"/>
      <c r="R49"/>
      <c r="S49"/>
    </row>
    <row r="50" spans="3:19" ht="23.1" customHeight="1" x14ac:dyDescent="0.25">
      <c r="C50" s="2"/>
      <c r="D50" s="2"/>
      <c r="R50"/>
      <c r="S50"/>
    </row>
    <row r="51" spans="3:19" ht="23.1" customHeight="1" x14ac:dyDescent="0.25">
      <c r="C51" s="2"/>
      <c r="D51" s="2"/>
      <c r="R51"/>
      <c r="S51"/>
    </row>
    <row r="52" spans="3:19" ht="23.1" customHeight="1" x14ac:dyDescent="0.25">
      <c r="C52" s="2"/>
      <c r="D52" s="2"/>
      <c r="R52"/>
      <c r="S52"/>
    </row>
    <row r="53" spans="3:19" ht="23.1" customHeight="1" x14ac:dyDescent="0.25">
      <c r="C53" s="2"/>
      <c r="D53" s="2"/>
      <c r="R53"/>
      <c r="S53"/>
    </row>
    <row r="54" spans="3:19" ht="23.1" customHeight="1" x14ac:dyDescent="0.25">
      <c r="C54" s="2"/>
      <c r="D54" s="2"/>
      <c r="R54"/>
      <c r="S54"/>
    </row>
    <row r="55" spans="3:19" ht="23.1" customHeight="1" x14ac:dyDescent="0.25">
      <c r="C55" s="2"/>
      <c r="D55" s="2"/>
      <c r="R55"/>
      <c r="S55"/>
    </row>
    <row r="56" spans="3:19" ht="23.1" customHeight="1" x14ac:dyDescent="0.25">
      <c r="C56" s="2"/>
      <c r="D56" s="2"/>
      <c r="R56"/>
      <c r="S56"/>
    </row>
    <row r="57" spans="3:19" ht="23.1" customHeight="1" x14ac:dyDescent="0.25">
      <c r="C57" s="2"/>
      <c r="D57" s="2"/>
      <c r="R57"/>
      <c r="S57"/>
    </row>
    <row r="58" spans="3:19" ht="23.1" customHeight="1" x14ac:dyDescent="0.25">
      <c r="C58" s="2"/>
      <c r="D58" s="2"/>
      <c r="R58"/>
      <c r="S58"/>
    </row>
    <row r="59" spans="3:19" ht="23.1" customHeight="1" x14ac:dyDescent="0.25">
      <c r="C59" s="2"/>
      <c r="D59" s="2"/>
      <c r="R59"/>
      <c r="S59"/>
    </row>
    <row r="60" spans="3:19" ht="23.1" customHeight="1" x14ac:dyDescent="0.25">
      <c r="C60" s="2"/>
      <c r="D60" s="2"/>
      <c r="R60"/>
      <c r="S60"/>
    </row>
    <row r="61" spans="3:19" ht="23.1" customHeight="1" x14ac:dyDescent="0.25">
      <c r="C61" s="2"/>
      <c r="D61" s="2"/>
      <c r="R61"/>
      <c r="S61"/>
    </row>
    <row r="62" spans="3:19" ht="23.1" customHeight="1" x14ac:dyDescent="0.25">
      <c r="C62" s="2"/>
      <c r="D62" s="2"/>
      <c r="R62"/>
      <c r="S62"/>
    </row>
    <row r="63" spans="3:19" ht="23.1" customHeight="1" x14ac:dyDescent="0.25">
      <c r="C63" s="2"/>
      <c r="D63" s="2"/>
      <c r="R63"/>
      <c r="S63"/>
    </row>
    <row r="64" spans="3:19" ht="23.1" customHeight="1" x14ac:dyDescent="0.25">
      <c r="C64" s="2"/>
      <c r="D64" s="2"/>
      <c r="R64"/>
      <c r="S64"/>
    </row>
    <row r="65" spans="3:19" ht="23.1" customHeight="1" x14ac:dyDescent="0.25">
      <c r="C65" s="2"/>
      <c r="D65" s="2"/>
      <c r="R65"/>
      <c r="S65"/>
    </row>
    <row r="66" spans="3:19" ht="23.1" customHeight="1" x14ac:dyDescent="0.25">
      <c r="C66" s="2"/>
      <c r="D66" s="2"/>
      <c r="R66"/>
      <c r="S66"/>
    </row>
    <row r="67" spans="3:19" ht="23.1" customHeight="1" x14ac:dyDescent="0.25">
      <c r="C67" s="2"/>
      <c r="D67" s="2"/>
      <c r="R67"/>
      <c r="S67"/>
    </row>
    <row r="68" spans="3:19" ht="23.1" customHeight="1" x14ac:dyDescent="0.25">
      <c r="C68" s="2"/>
      <c r="D68" s="2"/>
      <c r="R68"/>
      <c r="S68"/>
    </row>
    <row r="69" spans="3:19" ht="23.1" customHeight="1" x14ac:dyDescent="0.25">
      <c r="C69" s="2"/>
      <c r="D69" s="2"/>
      <c r="R69"/>
      <c r="S69"/>
    </row>
    <row r="70" spans="3:19" ht="23.1" customHeight="1" x14ac:dyDescent="0.25">
      <c r="C70" s="2"/>
      <c r="D70" s="2"/>
      <c r="R70"/>
      <c r="S70"/>
    </row>
    <row r="71" spans="3:19" ht="23.1" customHeight="1" x14ac:dyDescent="0.25">
      <c r="C71" s="2"/>
      <c r="D71" s="2"/>
      <c r="R71"/>
      <c r="S71"/>
    </row>
    <row r="72" spans="3:19" ht="23.1" customHeight="1" x14ac:dyDescent="0.25">
      <c r="C72" s="2"/>
      <c r="D72" s="2"/>
      <c r="R72"/>
      <c r="S72"/>
    </row>
    <row r="73" spans="3:19" ht="23.1" customHeight="1" x14ac:dyDescent="0.25">
      <c r="C73" s="2"/>
      <c r="D73" s="2"/>
      <c r="R73"/>
      <c r="S73"/>
    </row>
    <row r="74" spans="3:19" ht="23.1" customHeight="1" x14ac:dyDescent="0.25">
      <c r="C74" s="2"/>
      <c r="D74" s="2"/>
      <c r="R74"/>
      <c r="S74"/>
    </row>
    <row r="75" spans="3:19" ht="23.1" customHeight="1" x14ac:dyDescent="0.25">
      <c r="C75" s="2"/>
      <c r="D75" s="2"/>
      <c r="R75"/>
      <c r="S75"/>
    </row>
    <row r="76" spans="3:19" ht="23.1" customHeight="1" x14ac:dyDescent="0.25">
      <c r="C76" s="2"/>
      <c r="D76" s="2"/>
      <c r="R76"/>
      <c r="S76"/>
    </row>
    <row r="77" spans="3:19" ht="23.1" customHeight="1" x14ac:dyDescent="0.25">
      <c r="C77" s="2"/>
      <c r="D77" s="2"/>
      <c r="R77"/>
      <c r="S77"/>
    </row>
    <row r="78" spans="3:19" ht="23.1" customHeight="1" x14ac:dyDescent="0.25">
      <c r="C78" s="2"/>
      <c r="D78" s="2"/>
      <c r="R78"/>
      <c r="S78"/>
    </row>
    <row r="79" spans="3:19" ht="23.1" customHeight="1" x14ac:dyDescent="0.25">
      <c r="C79" s="2"/>
      <c r="D79" s="2"/>
      <c r="R79"/>
      <c r="S79"/>
    </row>
    <row r="80" spans="3:19" ht="23.1" customHeight="1" x14ac:dyDescent="0.25">
      <c r="C80" s="2"/>
      <c r="D80" s="2"/>
      <c r="R80"/>
      <c r="S80"/>
    </row>
    <row r="81" spans="3:19" ht="23.1" customHeight="1" x14ac:dyDescent="0.25">
      <c r="C81" s="2"/>
      <c r="D81" s="2"/>
      <c r="R81"/>
      <c r="S81"/>
    </row>
    <row r="82" spans="3:19" ht="23.1" customHeight="1" x14ac:dyDescent="0.25">
      <c r="C82" s="2"/>
      <c r="D82" s="2"/>
      <c r="R82"/>
      <c r="S82"/>
    </row>
    <row r="83" spans="3:19" ht="23.1" customHeight="1" x14ac:dyDescent="0.25">
      <c r="C83" s="2"/>
      <c r="D83" s="2"/>
      <c r="R83"/>
      <c r="S83"/>
    </row>
    <row r="84" spans="3:19" ht="23.1" customHeight="1" x14ac:dyDescent="0.25">
      <c r="C84" s="2"/>
      <c r="D84" s="2"/>
      <c r="R84"/>
      <c r="S84"/>
    </row>
    <row r="85" spans="3:19" ht="23.1" customHeight="1" x14ac:dyDescent="0.25">
      <c r="C85" s="2"/>
      <c r="D85" s="2"/>
      <c r="R85"/>
      <c r="S85"/>
    </row>
    <row r="86" spans="3:19" ht="23.1" customHeight="1" x14ac:dyDescent="0.25">
      <c r="C86" s="13"/>
      <c r="Q86" s="2"/>
      <c r="S86"/>
    </row>
    <row r="87" spans="3:19" ht="23.1" customHeight="1" x14ac:dyDescent="0.25">
      <c r="C87" s="13"/>
      <c r="Q87" s="2"/>
      <c r="S87"/>
    </row>
    <row r="88" spans="3:19" ht="23.1" customHeight="1" x14ac:dyDescent="0.25">
      <c r="C88" s="13"/>
    </row>
    <row r="89" spans="3:19" ht="23.1" customHeight="1" x14ac:dyDescent="0.25">
      <c r="C89" s="13"/>
    </row>
    <row r="90" spans="3:19" ht="23.1" customHeight="1" x14ac:dyDescent="0.25"/>
    <row r="91" spans="3:19" ht="23.1" customHeight="1" x14ac:dyDescent="0.25"/>
    <row r="92" spans="3:19" ht="23.1" customHeight="1" x14ac:dyDescent="0.25"/>
    <row r="93" spans="3:19" ht="23.1" customHeight="1" x14ac:dyDescent="0.25"/>
    <row r="94" spans="3:19" ht="23.1" customHeight="1" x14ac:dyDescent="0.25"/>
    <row r="95" spans="3:19" ht="23.1" customHeight="1" x14ac:dyDescent="0.25"/>
    <row r="96" spans="3:19" ht="23.1" customHeight="1" x14ac:dyDescent="0.25"/>
    <row r="97" ht="23.1" customHeight="1" x14ac:dyDescent="0.25"/>
    <row r="98" ht="23.1" customHeight="1" x14ac:dyDescent="0.25"/>
    <row r="99" ht="23.1" customHeight="1" x14ac:dyDescent="0.25"/>
    <row r="100" ht="23.1" customHeight="1" x14ac:dyDescent="0.25"/>
    <row r="101" ht="23.1" customHeight="1" x14ac:dyDescent="0.25"/>
    <row r="102" ht="23.1" customHeight="1" x14ac:dyDescent="0.25"/>
    <row r="103" ht="23.1" customHeight="1" x14ac:dyDescent="0.25"/>
    <row r="104" ht="23.1" customHeight="1" x14ac:dyDescent="0.25"/>
    <row r="105" ht="23.1" customHeight="1" x14ac:dyDescent="0.25"/>
    <row r="106" ht="23.1" customHeight="1" x14ac:dyDescent="0.25"/>
    <row r="107" ht="23.1" customHeight="1" x14ac:dyDescent="0.25"/>
    <row r="108" ht="23.1" customHeight="1" x14ac:dyDescent="0.25"/>
    <row r="109" ht="23.1" customHeight="1" x14ac:dyDescent="0.25"/>
    <row r="110" ht="23.1" customHeight="1" x14ac:dyDescent="0.25"/>
    <row r="111" ht="23.1" customHeight="1" x14ac:dyDescent="0.25"/>
    <row r="112" ht="23.1" customHeight="1" x14ac:dyDescent="0.25"/>
    <row r="113" ht="23.1" customHeight="1" x14ac:dyDescent="0.25"/>
    <row r="114" ht="23.1" customHeight="1" x14ac:dyDescent="0.25"/>
    <row r="115" ht="23.1" customHeight="1" x14ac:dyDescent="0.25"/>
    <row r="116" ht="23.1" customHeight="1" x14ac:dyDescent="0.25"/>
    <row r="117" ht="23.1" customHeight="1" x14ac:dyDescent="0.25"/>
    <row r="118" ht="23.1" customHeight="1" x14ac:dyDescent="0.25"/>
    <row r="119" ht="23.1" customHeight="1" x14ac:dyDescent="0.25"/>
    <row r="120" ht="23.1" customHeight="1" x14ac:dyDescent="0.25"/>
    <row r="121" ht="23.1" customHeight="1" x14ac:dyDescent="0.25"/>
    <row r="122" ht="23.1" customHeight="1" x14ac:dyDescent="0.25"/>
    <row r="123" ht="23.1" customHeight="1" x14ac:dyDescent="0.25"/>
    <row r="124" ht="23.1" customHeight="1" x14ac:dyDescent="0.25"/>
    <row r="125" ht="23.1" customHeight="1" x14ac:dyDescent="0.25"/>
    <row r="126" ht="23.1" customHeight="1" x14ac:dyDescent="0.25"/>
    <row r="127" ht="23.1" customHeight="1" x14ac:dyDescent="0.25"/>
    <row r="128" ht="23.1" customHeight="1" x14ac:dyDescent="0.25"/>
    <row r="129" ht="23.1" customHeight="1" x14ac:dyDescent="0.25"/>
    <row r="130" ht="23.1" customHeight="1" x14ac:dyDescent="0.25"/>
    <row r="131" ht="23.1" customHeight="1" x14ac:dyDescent="0.25"/>
    <row r="132" ht="23.1" customHeight="1" x14ac:dyDescent="0.25"/>
    <row r="133" ht="23.1" customHeight="1" x14ac:dyDescent="0.25"/>
    <row r="134" ht="23.1" customHeight="1" x14ac:dyDescent="0.25"/>
    <row r="135" ht="23.1" customHeight="1" x14ac:dyDescent="0.25"/>
    <row r="136" ht="23.1" customHeight="1" x14ac:dyDescent="0.25"/>
    <row r="137" ht="23.1" customHeight="1" x14ac:dyDescent="0.25"/>
    <row r="138" ht="23.1" customHeight="1" x14ac:dyDescent="0.25"/>
    <row r="139" ht="23.1" customHeight="1" x14ac:dyDescent="0.25"/>
    <row r="140" ht="23.1" customHeight="1" x14ac:dyDescent="0.25"/>
    <row r="141" ht="23.1" customHeight="1" x14ac:dyDescent="0.25"/>
    <row r="142" ht="23.1" customHeight="1" x14ac:dyDescent="0.25"/>
    <row r="143" ht="23.1" customHeight="1" x14ac:dyDescent="0.25"/>
    <row r="144" ht="23.1" customHeight="1" x14ac:dyDescent="0.25"/>
    <row r="145" ht="23.1" customHeight="1" x14ac:dyDescent="0.25"/>
    <row r="146" ht="23.1" customHeight="1" x14ac:dyDescent="0.25"/>
    <row r="147" ht="23.1" customHeight="1" x14ac:dyDescent="0.25"/>
    <row r="148" ht="23.1" customHeight="1" x14ac:dyDescent="0.25"/>
    <row r="149" ht="23.1" customHeight="1" x14ac:dyDescent="0.25"/>
    <row r="150" ht="23.1" customHeight="1" x14ac:dyDescent="0.25"/>
    <row r="151" ht="23.1" customHeight="1" x14ac:dyDescent="0.25"/>
  </sheetData>
  <mergeCells count="10">
    <mergeCell ref="B1:P1"/>
    <mergeCell ref="B2:P2"/>
    <mergeCell ref="C8:P8"/>
    <mergeCell ref="D5:E5"/>
    <mergeCell ref="C3:F3"/>
    <mergeCell ref="G5:H5"/>
    <mergeCell ref="K5:L5"/>
    <mergeCell ref="D6:E6"/>
    <mergeCell ref="G6:H6"/>
    <mergeCell ref="K6:L6"/>
  </mergeCells>
  <phoneticPr fontId="12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2" tint="-0.249977111117893"/>
  </sheetPr>
  <dimension ref="B1:AD151"/>
  <sheetViews>
    <sheetView view="pageBreakPreview" zoomScale="60" workbookViewId="0">
      <selection activeCell="D10" sqref="D10:N16"/>
    </sheetView>
  </sheetViews>
  <sheetFormatPr defaultColWidth="15" defaultRowHeight="20.100000000000001" customHeight="1" x14ac:dyDescent="0.25"/>
  <cols>
    <col min="1" max="1" width="4.85546875" customWidth="1"/>
    <col min="2" max="2" width="19.570312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5.7109375" customWidth="1"/>
    <col min="10" max="10" width="18.42578125" customWidth="1"/>
    <col min="11" max="11" width="20.42578125" customWidth="1"/>
    <col min="12" max="12" width="19.28515625" customWidth="1"/>
    <col min="13" max="13" width="14.5703125" customWidth="1"/>
    <col min="14" max="14" width="16.28515625" customWidth="1"/>
    <col min="15" max="15" width="14.85546875" customWidth="1"/>
    <col min="16" max="16" width="14.28515625" customWidth="1"/>
    <col min="17" max="17" width="14.7109375" customWidth="1"/>
    <col min="18" max="19" width="10.7109375" style="2" customWidth="1"/>
    <col min="20" max="32" width="10.7109375" customWidth="1"/>
  </cols>
  <sheetData>
    <row r="1" spans="2:30" ht="23.25" customHeight="1" x14ac:dyDescent="0.3">
      <c r="B1" s="29" t="s">
        <v>0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</row>
    <row r="2" spans="2:30" ht="20.100000000000001" customHeight="1" x14ac:dyDescent="0.25">
      <c r="B2" s="30" t="s">
        <v>25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</row>
    <row r="3" spans="2:30" ht="20.100000000000001" customHeight="1" x14ac:dyDescent="0.25">
      <c r="B3" s="1" t="s">
        <v>1</v>
      </c>
      <c r="C3" s="33" t="s">
        <v>29</v>
      </c>
      <c r="D3" s="33"/>
      <c r="E3" s="33"/>
      <c r="F3" s="33"/>
      <c r="G3" s="15"/>
      <c r="H3" s="15"/>
      <c r="I3" s="15"/>
      <c r="J3" s="15"/>
      <c r="K3" s="1"/>
      <c r="L3" s="1"/>
      <c r="M3" s="1"/>
      <c r="N3" s="1"/>
      <c r="O3" s="1"/>
      <c r="P3" s="1"/>
    </row>
    <row r="4" spans="2:30" ht="20.100000000000001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2:30" ht="20.100000000000001" customHeight="1" x14ac:dyDescent="0.25">
      <c r="C5" s="3" t="s">
        <v>2</v>
      </c>
      <c r="D5" s="32" t="s">
        <v>31</v>
      </c>
      <c r="E5" s="32"/>
      <c r="F5" s="4" t="s">
        <v>3</v>
      </c>
      <c r="G5" s="34"/>
      <c r="H5" s="35"/>
      <c r="I5" s="5"/>
      <c r="J5" s="3" t="s">
        <v>4</v>
      </c>
      <c r="K5" s="34" t="s">
        <v>14</v>
      </c>
      <c r="L5" s="35"/>
      <c r="M5" s="2"/>
      <c r="N5" s="2"/>
    </row>
    <row r="6" spans="2:30" ht="23.25" customHeight="1" x14ac:dyDescent="0.25">
      <c r="C6" s="3" t="s">
        <v>5</v>
      </c>
      <c r="D6" s="36" t="s">
        <v>30</v>
      </c>
      <c r="E6" s="37"/>
      <c r="F6" s="3" t="s">
        <v>6</v>
      </c>
      <c r="G6" s="36" t="s">
        <v>28</v>
      </c>
      <c r="H6" s="37"/>
      <c r="J6" s="3" t="s">
        <v>7</v>
      </c>
      <c r="K6" s="36" t="s">
        <v>13</v>
      </c>
      <c r="L6" s="37"/>
      <c r="M6" s="2"/>
      <c r="N6" s="2"/>
    </row>
    <row r="7" spans="2:30" ht="20.100000000000001" customHeight="1" x14ac:dyDescent="0.25">
      <c r="D7" s="2"/>
      <c r="E7" s="2"/>
      <c r="R7"/>
      <c r="S7"/>
    </row>
    <row r="8" spans="2:30" ht="50.25" customHeight="1" x14ac:dyDescent="0.25">
      <c r="C8" s="31" t="s">
        <v>26</v>
      </c>
      <c r="D8" s="31"/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R8"/>
      <c r="S8"/>
    </row>
    <row r="9" spans="2:30" ht="98.25" customHeight="1" x14ac:dyDescent="0.25">
      <c r="B9" s="14" t="s">
        <v>8</v>
      </c>
      <c r="C9" s="26" t="s">
        <v>15</v>
      </c>
      <c r="D9" s="26" t="s">
        <v>33</v>
      </c>
      <c r="E9" s="26" t="s">
        <v>34</v>
      </c>
      <c r="F9" s="26" t="s">
        <v>35</v>
      </c>
      <c r="G9" s="26" t="s">
        <v>36</v>
      </c>
      <c r="H9" s="26" t="s">
        <v>37</v>
      </c>
      <c r="I9" s="26" t="s">
        <v>38</v>
      </c>
      <c r="J9" s="26" t="s">
        <v>39</v>
      </c>
      <c r="K9" s="26" t="s">
        <v>40</v>
      </c>
      <c r="L9" s="26" t="s">
        <v>41</v>
      </c>
      <c r="M9" s="26" t="s">
        <v>42</v>
      </c>
      <c r="N9" s="26" t="s">
        <v>43</v>
      </c>
      <c r="O9" s="7" t="s">
        <v>10</v>
      </c>
      <c r="P9" s="7" t="s">
        <v>24</v>
      </c>
      <c r="R9"/>
      <c r="S9"/>
    </row>
    <row r="10" spans="2:30" ht="23.1" customHeight="1" x14ac:dyDescent="0.25">
      <c r="B10" s="6" t="s">
        <v>16</v>
      </c>
      <c r="C10" s="22">
        <v>3307</v>
      </c>
      <c r="D10" s="8">
        <f>$O10*D$20</f>
        <v>6235.9267980157665</v>
      </c>
      <c r="E10" s="8">
        <f t="shared" ref="E10:N16" si="0">$O10*E$20</f>
        <v>964.98383690733488</v>
      </c>
      <c r="F10" s="8">
        <f t="shared" si="0"/>
        <v>881.42495218249928</v>
      </c>
      <c r="G10" s="8">
        <f t="shared" si="0"/>
        <v>2549.2569455891266</v>
      </c>
      <c r="H10" s="8">
        <f t="shared" si="0"/>
        <v>162.97746435069277</v>
      </c>
      <c r="I10" s="8">
        <f t="shared" si="0"/>
        <v>54.451285241109041</v>
      </c>
      <c r="J10" s="8">
        <f t="shared" si="0"/>
        <v>986.64725146562557</v>
      </c>
      <c r="K10" s="8">
        <f t="shared" si="0"/>
        <v>814.34364532632503</v>
      </c>
      <c r="L10" s="8">
        <f t="shared" si="0"/>
        <v>361.04296888363626</v>
      </c>
      <c r="M10" s="8">
        <f t="shared" si="0"/>
        <v>435.3175330834901</v>
      </c>
      <c r="N10" s="8">
        <f t="shared" si="0"/>
        <v>0.62731895439065721</v>
      </c>
      <c r="O10" s="9">
        <v>13447</v>
      </c>
      <c r="P10" s="9">
        <f>SUM(C10:N10)</f>
        <v>16753.999999999996</v>
      </c>
      <c r="R10"/>
      <c r="S10"/>
    </row>
    <row r="11" spans="2:30" s="10" customFormat="1" ht="23.1" customHeight="1" x14ac:dyDescent="0.25">
      <c r="B11" s="6" t="s">
        <v>20</v>
      </c>
      <c r="C11" s="23">
        <v>3557</v>
      </c>
      <c r="D11" s="8">
        <f t="shared" ref="D11:D16" si="1">$O11*D$20</f>
        <v>6110.7166964716107</v>
      </c>
      <c r="E11" s="8">
        <f t="shared" si="0"/>
        <v>945.60809243161691</v>
      </c>
      <c r="F11" s="8">
        <f t="shared" si="0"/>
        <v>863.72697218032226</v>
      </c>
      <c r="G11" s="8">
        <f t="shared" si="0"/>
        <v>2498.0708538728281</v>
      </c>
      <c r="H11" s="8">
        <f t="shared" si="0"/>
        <v>159.70506787752498</v>
      </c>
      <c r="I11" s="8">
        <f t="shared" si="0"/>
        <v>53.3579672508436</v>
      </c>
      <c r="J11" s="8">
        <f t="shared" si="0"/>
        <v>966.8365310152858</v>
      </c>
      <c r="K11" s="8">
        <f t="shared" si="0"/>
        <v>797.99257934594959</v>
      </c>
      <c r="L11" s="8">
        <f t="shared" si="0"/>
        <v>353.79364921392693</v>
      </c>
      <c r="M11" s="8">
        <f t="shared" si="0"/>
        <v>426.57686721507764</v>
      </c>
      <c r="N11" s="8">
        <f t="shared" si="0"/>
        <v>0.61472312500971893</v>
      </c>
      <c r="O11" s="9">
        <v>13177</v>
      </c>
      <c r="P11" s="9">
        <f t="shared" ref="P11:P16" si="2">SUM(C11:N11)</f>
        <v>16734</v>
      </c>
    </row>
    <row r="12" spans="2:30" ht="23.1" customHeight="1" x14ac:dyDescent="0.25">
      <c r="B12" s="6" t="s">
        <v>21</v>
      </c>
      <c r="C12" s="22">
        <v>3359</v>
      </c>
      <c r="D12" s="8">
        <f t="shared" si="1"/>
        <v>5617.7598892811029</v>
      </c>
      <c r="E12" s="8">
        <f t="shared" si="0"/>
        <v>869.32506881054917</v>
      </c>
      <c r="F12" s="8">
        <f t="shared" si="0"/>
        <v>794.0493694310104</v>
      </c>
      <c r="G12" s="8">
        <f t="shared" si="0"/>
        <v>2296.5493150045868</v>
      </c>
      <c r="H12" s="8">
        <f t="shared" si="0"/>
        <v>146.82152176279408</v>
      </c>
      <c r="I12" s="8">
        <f t="shared" si="0"/>
        <v>49.05353382990964</v>
      </c>
      <c r="J12" s="8">
        <f t="shared" si="0"/>
        <v>888.84099087191112</v>
      </c>
      <c r="K12" s="8">
        <f t="shared" si="0"/>
        <v>733.61782698617549</v>
      </c>
      <c r="L12" s="8">
        <f t="shared" si="0"/>
        <v>325.25280918096007</v>
      </c>
      <c r="M12" s="8">
        <f t="shared" si="0"/>
        <v>392.16454196277232</v>
      </c>
      <c r="N12" s="8">
        <f t="shared" si="0"/>
        <v>0.56513287822476543</v>
      </c>
      <c r="O12" s="9">
        <v>12114</v>
      </c>
      <c r="P12" s="9">
        <f t="shared" si="2"/>
        <v>15472.999999999998</v>
      </c>
      <c r="R12"/>
      <c r="S12"/>
    </row>
    <row r="13" spans="2:30" ht="23.1" customHeight="1" x14ac:dyDescent="0.25">
      <c r="B13" s="6" t="s">
        <v>17</v>
      </c>
      <c r="C13" s="6">
        <v>3626</v>
      </c>
      <c r="D13" s="8">
        <f t="shared" si="1"/>
        <v>6085.2109350459496</v>
      </c>
      <c r="E13" s="8">
        <f t="shared" si="0"/>
        <v>941.66118151989656</v>
      </c>
      <c r="F13" s="8">
        <f t="shared" si="0"/>
        <v>860.12182810580464</v>
      </c>
      <c r="G13" s="8">
        <f t="shared" si="0"/>
        <v>2487.6440574121007</v>
      </c>
      <c r="H13" s="8">
        <f t="shared" si="0"/>
        <v>159.03846859595376</v>
      </c>
      <c r="I13" s="8">
        <f t="shared" si="0"/>
        <v>53.135254326900636</v>
      </c>
      <c r="J13" s="8">
        <f t="shared" si="0"/>
        <v>962.80101388651292</v>
      </c>
      <c r="K13" s="8">
        <f t="shared" si="0"/>
        <v>794.66180664624358</v>
      </c>
      <c r="L13" s="8">
        <f t="shared" si="0"/>
        <v>352.31693594787504</v>
      </c>
      <c r="M13" s="8">
        <f t="shared" si="0"/>
        <v>424.79636120484548</v>
      </c>
      <c r="N13" s="8">
        <f t="shared" si="0"/>
        <v>0.61215730791360179</v>
      </c>
      <c r="O13" s="9">
        <v>13122</v>
      </c>
      <c r="P13" s="9">
        <f t="shared" si="2"/>
        <v>16747.999999999996</v>
      </c>
      <c r="R13"/>
      <c r="S13"/>
    </row>
    <row r="14" spans="2:30" ht="23.1" customHeight="1" x14ac:dyDescent="0.25">
      <c r="B14" s="6" t="s">
        <v>18</v>
      </c>
      <c r="C14" s="6">
        <v>3277</v>
      </c>
      <c r="D14" s="8">
        <f t="shared" si="1"/>
        <v>6361.6006406767519</v>
      </c>
      <c r="E14" s="8">
        <f t="shared" si="0"/>
        <v>984.43134339962967</v>
      </c>
      <c r="F14" s="8">
        <f t="shared" si="0"/>
        <v>899.18848025875843</v>
      </c>
      <c r="G14" s="8">
        <f t="shared" si="0"/>
        <v>2600.6326154228927</v>
      </c>
      <c r="H14" s="8">
        <f t="shared" si="0"/>
        <v>166.26198081079818</v>
      </c>
      <c r="I14" s="8">
        <f t="shared" si="0"/>
        <v>55.548652557264361</v>
      </c>
      <c r="J14" s="8">
        <f t="shared" si="0"/>
        <v>1006.5313449546703</v>
      </c>
      <c r="K14" s="8">
        <f t="shared" si="0"/>
        <v>830.75527081033147</v>
      </c>
      <c r="L14" s="8">
        <f t="shared" si="0"/>
        <v>368.31913788545569</v>
      </c>
      <c r="M14" s="8">
        <f t="shared" si="0"/>
        <v>444.09057178845222</v>
      </c>
      <c r="N14" s="8">
        <f t="shared" si="0"/>
        <v>0.63996143499152491</v>
      </c>
      <c r="O14" s="9">
        <v>13718</v>
      </c>
      <c r="P14" s="9">
        <f t="shared" si="2"/>
        <v>16995</v>
      </c>
      <c r="R14"/>
      <c r="S14"/>
    </row>
    <row r="15" spans="2:30" ht="23.1" customHeight="1" x14ac:dyDescent="0.25">
      <c r="B15" s="6" t="s">
        <v>19</v>
      </c>
      <c r="C15" s="6">
        <v>3634</v>
      </c>
      <c r="D15" s="8">
        <f t="shared" si="1"/>
        <v>6611.0933615314025</v>
      </c>
      <c r="E15" s="8">
        <f t="shared" si="0"/>
        <v>1023.0393083179123</v>
      </c>
      <c r="F15" s="8">
        <f t="shared" si="0"/>
        <v>934.45334411494832</v>
      </c>
      <c r="G15" s="8">
        <f t="shared" si="0"/>
        <v>2702.6256426205537</v>
      </c>
      <c r="H15" s="8">
        <f t="shared" si="0"/>
        <v>172.78253378325843</v>
      </c>
      <c r="I15" s="8">
        <f t="shared" si="0"/>
        <v>57.727189886015509</v>
      </c>
      <c r="J15" s="8">
        <f t="shared" si="0"/>
        <v>1046.00603977794</v>
      </c>
      <c r="K15" s="8">
        <f t="shared" si="0"/>
        <v>863.33628376382012</v>
      </c>
      <c r="L15" s="8">
        <f t="shared" si="0"/>
        <v>382.76407856065435</v>
      </c>
      <c r="M15" s="8">
        <f t="shared" si="0"/>
        <v>461.50715785217778</v>
      </c>
      <c r="N15" s="8">
        <f t="shared" si="0"/>
        <v>0.66505979131354276</v>
      </c>
      <c r="O15" s="9">
        <v>14256</v>
      </c>
      <c r="P15" s="9">
        <f t="shared" si="2"/>
        <v>17889.999999999996</v>
      </c>
      <c r="R15"/>
      <c r="S15"/>
    </row>
    <row r="16" spans="2:30" ht="23.1" customHeight="1" x14ac:dyDescent="0.25">
      <c r="B16" s="6" t="s">
        <v>22</v>
      </c>
      <c r="C16" s="6">
        <v>4143</v>
      </c>
      <c r="D16" s="8">
        <f t="shared" si="1"/>
        <v>5761.9833766152969</v>
      </c>
      <c r="E16" s="8">
        <f t="shared" si="0"/>
        <v>891.64305596591328</v>
      </c>
      <c r="F16" s="8">
        <f t="shared" si="0"/>
        <v>814.434820470555</v>
      </c>
      <c r="G16" s="8">
        <f t="shared" si="0"/>
        <v>2355.5081095370638</v>
      </c>
      <c r="H16" s="8">
        <f t="shared" si="0"/>
        <v>150.59083770040584</v>
      </c>
      <c r="I16" s="8">
        <f t="shared" si="0"/>
        <v>50.312874181659836</v>
      </c>
      <c r="J16" s="8">
        <f t="shared" si="0"/>
        <v>911.66000590915428</v>
      </c>
      <c r="K16" s="8">
        <f t="shared" si="0"/>
        <v>752.45183261542263</v>
      </c>
      <c r="L16" s="8">
        <f t="shared" si="0"/>
        <v>333.60295146718084</v>
      </c>
      <c r="M16" s="8">
        <f t="shared" si="0"/>
        <v>402.23249412972149</v>
      </c>
      <c r="N16" s="8">
        <f t="shared" si="0"/>
        <v>0.57964140762280925</v>
      </c>
      <c r="O16" s="9">
        <v>12425</v>
      </c>
      <c r="P16" s="9">
        <f t="shared" si="2"/>
        <v>16567.999999999996</v>
      </c>
      <c r="R16"/>
      <c r="S16"/>
    </row>
    <row r="17" spans="2:19" ht="37.5" customHeight="1" x14ac:dyDescent="0.25">
      <c r="B17" s="16" t="s">
        <v>23</v>
      </c>
      <c r="C17" s="11">
        <f>AVERAGE(C10:C16)</f>
        <v>3557.5714285714284</v>
      </c>
      <c r="D17" s="11">
        <f t="shared" ref="D17:N17" si="3">AVERAGE(D10:D16)</f>
        <v>6112.0416710911259</v>
      </c>
      <c r="E17" s="11">
        <f t="shared" si="3"/>
        <v>945.81312676469327</v>
      </c>
      <c r="F17" s="11">
        <f t="shared" si="3"/>
        <v>863.91425239198543</v>
      </c>
      <c r="G17" s="11">
        <f t="shared" si="3"/>
        <v>2498.6125056370215</v>
      </c>
      <c r="H17" s="11">
        <f t="shared" si="3"/>
        <v>159.73969641163259</v>
      </c>
      <c r="I17" s="11">
        <f t="shared" si="3"/>
        <v>53.369536753386079</v>
      </c>
      <c r="J17" s="11">
        <f t="shared" si="3"/>
        <v>967.04616826872848</v>
      </c>
      <c r="K17" s="11">
        <f t="shared" si="3"/>
        <v>798.16560649918108</v>
      </c>
      <c r="L17" s="11">
        <f t="shared" si="3"/>
        <v>353.87036159138415</v>
      </c>
      <c r="M17" s="11">
        <f t="shared" si="3"/>
        <v>426.66936103379101</v>
      </c>
      <c r="N17" s="11">
        <f t="shared" si="3"/>
        <v>0.6148564142095172</v>
      </c>
      <c r="O17" s="12">
        <f>AVERAGE(O10:O16)</f>
        <v>13179.857142857143</v>
      </c>
      <c r="P17" s="12">
        <f>AVERAGE(P10:P16)</f>
        <v>16737.428571428572</v>
      </c>
      <c r="R17"/>
      <c r="S17"/>
    </row>
    <row r="18" spans="2:19" ht="23.1" customHeight="1" x14ac:dyDescent="0.25">
      <c r="B18" s="18" t="s">
        <v>11</v>
      </c>
      <c r="C18" s="17">
        <f>C$17/P$17</f>
        <v>0.21255185128283913</v>
      </c>
      <c r="D18" s="17">
        <f>D17/$P$17</f>
        <v>0.36517208393197348</v>
      </c>
      <c r="E18" s="17">
        <f>E17/$P$17</f>
        <v>5.6508867101558974E-2</v>
      </c>
      <c r="F18" s="17">
        <f t="shared" ref="F18:N18" si="4">F17/$P$17</f>
        <v>5.1615709587954264E-2</v>
      </c>
      <c r="G18" s="17">
        <f t="shared" si="4"/>
        <v>0.14928293763728129</v>
      </c>
      <c r="H18" s="17">
        <f t="shared" si="4"/>
        <v>9.5438612765352936E-3</v>
      </c>
      <c r="I18" s="17">
        <f t="shared" si="4"/>
        <v>3.1886341755321909E-3</v>
      </c>
      <c r="J18" s="17">
        <f t="shared" si="4"/>
        <v>5.7777463493975001E-2</v>
      </c>
      <c r="K18" s="17">
        <f t="shared" si="4"/>
        <v>4.7687469021476823E-2</v>
      </c>
      <c r="L18" s="17">
        <f t="shared" si="4"/>
        <v>2.1142456864339024E-2</v>
      </c>
      <c r="M18" s="17">
        <f t="shared" si="4"/>
        <v>2.5491930209765427E-2</v>
      </c>
      <c r="N18" s="17">
        <f t="shared" si="4"/>
        <v>3.6735416768804052E-5</v>
      </c>
      <c r="O18" s="12">
        <f>SUM(O10:O16)</f>
        <v>92259</v>
      </c>
      <c r="P18" s="12">
        <f>SUM(P10:P16)</f>
        <v>117162</v>
      </c>
      <c r="R18"/>
      <c r="S18"/>
    </row>
    <row r="19" spans="2:19" ht="23.1" customHeight="1" x14ac:dyDescent="0.25">
      <c r="B19" s="19" t="s">
        <v>12</v>
      </c>
      <c r="C19" s="17"/>
      <c r="D19" s="17">
        <f t="shared" ref="D19:N19" si="5">D$17/$O$17</f>
        <v>0.46374111683020497</v>
      </c>
      <c r="E19" s="17">
        <f t="shared" si="5"/>
        <v>7.1762016576733464E-2</v>
      </c>
      <c r="F19" s="17">
        <f t="shared" si="5"/>
        <v>6.5548074082137225E-2</v>
      </c>
      <c r="G19" s="17">
        <f t="shared" si="5"/>
        <v>0.1895781174677717</v>
      </c>
      <c r="H19" s="17">
        <f t="shared" si="5"/>
        <v>1.2119986937658419E-2</v>
      </c>
      <c r="I19" s="17">
        <f t="shared" si="5"/>
        <v>4.0493258898720184E-3</v>
      </c>
      <c r="J19" s="17">
        <f t="shared" si="5"/>
        <v>7.3373038704962104E-2</v>
      </c>
      <c r="K19" s="17">
        <f t="shared" si="5"/>
        <v>6.0559503631019924E-2</v>
      </c>
      <c r="L19" s="17">
        <f t="shared" si="5"/>
        <v>2.6849332110034676E-2</v>
      </c>
      <c r="M19" s="17">
        <f t="shared" si="5"/>
        <v>3.2372836549675772E-2</v>
      </c>
      <c r="N19" s="17">
        <f t="shared" si="5"/>
        <v>4.6651219929401145E-5</v>
      </c>
      <c r="O19" s="12"/>
      <c r="P19" s="12"/>
      <c r="R19"/>
      <c r="S19"/>
    </row>
    <row r="20" spans="2:19" ht="23.1" customHeight="1" x14ac:dyDescent="0.25">
      <c r="D20" s="24">
        <v>0.46374111683020497</v>
      </c>
      <c r="E20" s="24">
        <v>7.1762016576733464E-2</v>
      </c>
      <c r="F20" s="25">
        <v>6.5548074082137225E-2</v>
      </c>
      <c r="G20" s="25">
        <v>0.18957811746777173</v>
      </c>
      <c r="H20" s="25">
        <v>1.2119986937658419E-2</v>
      </c>
      <c r="I20" s="25">
        <v>4.0493258898720193E-3</v>
      </c>
      <c r="J20" s="25">
        <v>7.3373038704962118E-2</v>
      </c>
      <c r="K20" s="25">
        <v>6.0559503631019931E-2</v>
      </c>
      <c r="L20" s="25">
        <v>2.6849332110034676E-2</v>
      </c>
      <c r="M20" s="25">
        <v>3.2372836549675772E-2</v>
      </c>
      <c r="N20" s="25">
        <v>4.6651219929401145E-5</v>
      </c>
      <c r="R20"/>
      <c r="S20"/>
    </row>
    <row r="21" spans="2:19" ht="23.1" customHeight="1" x14ac:dyDescent="0.25">
      <c r="D21" s="2"/>
      <c r="E21" s="2"/>
      <c r="R21"/>
      <c r="S21"/>
    </row>
    <row r="22" spans="2:19" ht="23.1" customHeight="1" x14ac:dyDescent="0.25">
      <c r="D22" s="2"/>
      <c r="E22" s="2"/>
      <c r="R22"/>
      <c r="S22"/>
    </row>
    <row r="23" spans="2:19" ht="23.1" customHeight="1" x14ac:dyDescent="0.25">
      <c r="C23" s="2"/>
      <c r="D23" s="2"/>
      <c r="R23"/>
      <c r="S23"/>
    </row>
    <row r="24" spans="2:19" ht="23.1" customHeight="1" x14ac:dyDescent="0.25">
      <c r="C24" s="2"/>
      <c r="D24" s="2"/>
      <c r="R24"/>
      <c r="S24"/>
    </row>
    <row r="25" spans="2:19" ht="23.1" customHeight="1" x14ac:dyDescent="0.25">
      <c r="C25" s="2"/>
      <c r="D25" s="2"/>
      <c r="R25"/>
      <c r="S25"/>
    </row>
    <row r="26" spans="2:19" ht="23.1" customHeight="1" x14ac:dyDescent="0.25">
      <c r="C26" s="2"/>
      <c r="D26" s="2"/>
      <c r="R26"/>
      <c r="S26"/>
    </row>
    <row r="27" spans="2:19" ht="23.1" customHeight="1" x14ac:dyDescent="0.25">
      <c r="C27" s="2"/>
      <c r="D27" s="2"/>
      <c r="R27"/>
      <c r="S27"/>
    </row>
    <row r="28" spans="2:19" ht="23.1" customHeight="1" x14ac:dyDescent="0.25">
      <c r="C28" s="2"/>
      <c r="D28" s="2"/>
      <c r="R28"/>
      <c r="S28"/>
    </row>
    <row r="29" spans="2:19" ht="23.1" customHeight="1" x14ac:dyDescent="0.25">
      <c r="C29" s="2"/>
      <c r="D29" s="2"/>
      <c r="R29"/>
      <c r="S29"/>
    </row>
    <row r="30" spans="2:19" ht="23.1" customHeight="1" x14ac:dyDescent="0.25">
      <c r="C30" s="2"/>
      <c r="D30" s="2"/>
      <c r="R30"/>
      <c r="S30"/>
    </row>
    <row r="31" spans="2:19" ht="23.1" customHeight="1" x14ac:dyDescent="0.25">
      <c r="C31" s="2"/>
      <c r="D31" s="2"/>
      <c r="R31"/>
      <c r="S31"/>
    </row>
    <row r="32" spans="2:19" ht="23.1" customHeight="1" x14ac:dyDescent="0.25">
      <c r="C32" s="2"/>
      <c r="D32" s="2"/>
      <c r="R32"/>
      <c r="S32"/>
    </row>
    <row r="33" spans="3:19" ht="23.1" customHeight="1" x14ac:dyDescent="0.25">
      <c r="C33" s="2"/>
      <c r="D33" s="2"/>
      <c r="R33"/>
      <c r="S33"/>
    </row>
    <row r="34" spans="3:19" ht="23.1" customHeight="1" x14ac:dyDescent="0.25">
      <c r="C34" s="2"/>
      <c r="D34" s="2"/>
      <c r="R34"/>
      <c r="S34"/>
    </row>
    <row r="35" spans="3:19" ht="23.1" customHeight="1" x14ac:dyDescent="0.25">
      <c r="C35" s="2"/>
      <c r="D35" s="2"/>
      <c r="R35"/>
      <c r="S35"/>
    </row>
    <row r="36" spans="3:19" ht="23.1" customHeight="1" x14ac:dyDescent="0.25">
      <c r="C36" s="2"/>
      <c r="D36" s="2"/>
      <c r="R36"/>
      <c r="S36"/>
    </row>
    <row r="37" spans="3:19" ht="23.1" customHeight="1" x14ac:dyDescent="0.25">
      <c r="C37" s="2"/>
      <c r="D37" s="2"/>
      <c r="R37"/>
      <c r="S37"/>
    </row>
    <row r="38" spans="3:19" ht="23.1" customHeight="1" x14ac:dyDescent="0.25">
      <c r="C38" s="2"/>
      <c r="D38" s="2"/>
      <c r="R38"/>
      <c r="S38"/>
    </row>
    <row r="39" spans="3:19" ht="23.1" customHeight="1" x14ac:dyDescent="0.25">
      <c r="C39" s="2"/>
      <c r="D39" s="2"/>
      <c r="R39"/>
      <c r="S39"/>
    </row>
    <row r="40" spans="3:19" ht="23.1" customHeight="1" x14ac:dyDescent="0.25">
      <c r="C40" s="2"/>
      <c r="D40" s="2"/>
      <c r="R40"/>
      <c r="S40"/>
    </row>
    <row r="41" spans="3:19" ht="23.1" customHeight="1" x14ac:dyDescent="0.25">
      <c r="C41" s="2"/>
      <c r="D41" s="2"/>
      <c r="R41"/>
      <c r="S41"/>
    </row>
    <row r="42" spans="3:19" ht="23.1" customHeight="1" x14ac:dyDescent="0.25">
      <c r="C42" s="2"/>
      <c r="D42" s="2"/>
      <c r="R42"/>
      <c r="S42"/>
    </row>
    <row r="43" spans="3:19" ht="23.1" customHeight="1" x14ac:dyDescent="0.25">
      <c r="C43" s="2"/>
      <c r="D43" s="2"/>
      <c r="R43"/>
      <c r="S43"/>
    </row>
    <row r="44" spans="3:19" ht="23.1" customHeight="1" x14ac:dyDescent="0.25">
      <c r="C44" s="2"/>
      <c r="D44" s="2"/>
      <c r="R44"/>
      <c r="S44"/>
    </row>
    <row r="45" spans="3:19" ht="23.1" customHeight="1" x14ac:dyDescent="0.25">
      <c r="C45" s="2"/>
      <c r="D45" s="2"/>
      <c r="R45"/>
      <c r="S45"/>
    </row>
    <row r="46" spans="3:19" ht="23.1" customHeight="1" x14ac:dyDescent="0.25">
      <c r="C46" s="2"/>
      <c r="D46" s="2"/>
      <c r="R46"/>
      <c r="S46"/>
    </row>
    <row r="47" spans="3:19" ht="23.1" customHeight="1" x14ac:dyDescent="0.25">
      <c r="C47" s="2"/>
      <c r="D47" s="2"/>
      <c r="R47"/>
      <c r="S47"/>
    </row>
    <row r="48" spans="3:19" ht="23.1" customHeight="1" x14ac:dyDescent="0.25">
      <c r="C48" s="2"/>
      <c r="D48" s="2"/>
      <c r="R48"/>
      <c r="S48"/>
    </row>
    <row r="49" spans="3:19" ht="23.1" customHeight="1" x14ac:dyDescent="0.25">
      <c r="C49" s="2"/>
      <c r="D49" s="2"/>
      <c r="R49"/>
      <c r="S49"/>
    </row>
    <row r="50" spans="3:19" ht="23.1" customHeight="1" x14ac:dyDescent="0.25">
      <c r="C50" s="2"/>
      <c r="D50" s="2"/>
      <c r="R50"/>
      <c r="S50"/>
    </row>
    <row r="51" spans="3:19" ht="23.1" customHeight="1" x14ac:dyDescent="0.25">
      <c r="C51" s="2"/>
      <c r="D51" s="2"/>
      <c r="R51"/>
      <c r="S51"/>
    </row>
    <row r="52" spans="3:19" ht="23.1" customHeight="1" x14ac:dyDescent="0.25">
      <c r="C52" s="2"/>
      <c r="D52" s="2"/>
      <c r="R52"/>
      <c r="S52"/>
    </row>
    <row r="53" spans="3:19" ht="23.1" customHeight="1" x14ac:dyDescent="0.25">
      <c r="C53" s="2"/>
      <c r="D53" s="2"/>
      <c r="R53"/>
      <c r="S53"/>
    </row>
    <row r="54" spans="3:19" ht="23.1" customHeight="1" x14ac:dyDescent="0.25">
      <c r="C54" s="2"/>
      <c r="D54" s="2"/>
      <c r="R54"/>
      <c r="S54"/>
    </row>
    <row r="55" spans="3:19" ht="23.1" customHeight="1" x14ac:dyDescent="0.25">
      <c r="C55" s="2"/>
      <c r="D55" s="2"/>
      <c r="R55"/>
      <c r="S55"/>
    </row>
    <row r="56" spans="3:19" ht="23.1" customHeight="1" x14ac:dyDescent="0.25">
      <c r="C56" s="2"/>
      <c r="D56" s="2"/>
      <c r="R56"/>
      <c r="S56"/>
    </row>
    <row r="57" spans="3:19" ht="23.1" customHeight="1" x14ac:dyDescent="0.25">
      <c r="C57" s="2"/>
      <c r="D57" s="2"/>
      <c r="R57"/>
      <c r="S57"/>
    </row>
    <row r="58" spans="3:19" ht="23.1" customHeight="1" x14ac:dyDescent="0.25">
      <c r="C58" s="2"/>
      <c r="D58" s="2"/>
      <c r="R58"/>
      <c r="S58"/>
    </row>
    <row r="59" spans="3:19" ht="23.1" customHeight="1" x14ac:dyDescent="0.25">
      <c r="C59" s="2"/>
      <c r="D59" s="2"/>
      <c r="R59"/>
      <c r="S59"/>
    </row>
    <row r="60" spans="3:19" ht="23.1" customHeight="1" x14ac:dyDescent="0.25">
      <c r="C60" s="2"/>
      <c r="D60" s="2"/>
      <c r="R60"/>
      <c r="S60"/>
    </row>
    <row r="61" spans="3:19" ht="23.1" customHeight="1" x14ac:dyDescent="0.25">
      <c r="C61" s="2"/>
      <c r="D61" s="2"/>
      <c r="R61"/>
      <c r="S61"/>
    </row>
    <row r="62" spans="3:19" ht="23.1" customHeight="1" x14ac:dyDescent="0.25">
      <c r="C62" s="2"/>
      <c r="D62" s="2"/>
      <c r="R62"/>
      <c r="S62"/>
    </row>
    <row r="63" spans="3:19" ht="23.1" customHeight="1" x14ac:dyDescent="0.25">
      <c r="C63" s="2"/>
      <c r="D63" s="2"/>
      <c r="R63"/>
      <c r="S63"/>
    </row>
    <row r="64" spans="3:19" ht="23.1" customHeight="1" x14ac:dyDescent="0.25">
      <c r="C64" s="2"/>
      <c r="D64" s="2"/>
      <c r="R64"/>
      <c r="S64"/>
    </row>
    <row r="65" spans="3:19" ht="23.1" customHeight="1" x14ac:dyDescent="0.25">
      <c r="C65" s="2"/>
      <c r="D65" s="2"/>
      <c r="R65"/>
      <c r="S65"/>
    </row>
    <row r="66" spans="3:19" ht="23.1" customHeight="1" x14ac:dyDescent="0.25">
      <c r="C66" s="2"/>
      <c r="D66" s="2"/>
      <c r="R66"/>
      <c r="S66"/>
    </row>
    <row r="67" spans="3:19" ht="23.1" customHeight="1" x14ac:dyDescent="0.25">
      <c r="C67" s="2"/>
      <c r="D67" s="2"/>
      <c r="R67"/>
      <c r="S67"/>
    </row>
    <row r="68" spans="3:19" ht="23.1" customHeight="1" x14ac:dyDescent="0.25">
      <c r="C68" s="2"/>
      <c r="D68" s="2"/>
      <c r="R68"/>
      <c r="S68"/>
    </row>
    <row r="69" spans="3:19" ht="23.1" customHeight="1" x14ac:dyDescent="0.25">
      <c r="C69" s="2"/>
      <c r="D69" s="2"/>
      <c r="R69"/>
      <c r="S69"/>
    </row>
    <row r="70" spans="3:19" ht="23.1" customHeight="1" x14ac:dyDescent="0.25">
      <c r="C70" s="2"/>
      <c r="D70" s="2"/>
      <c r="R70"/>
      <c r="S70"/>
    </row>
    <row r="71" spans="3:19" ht="23.1" customHeight="1" x14ac:dyDescent="0.25">
      <c r="C71" s="2"/>
      <c r="D71" s="2"/>
      <c r="R71"/>
      <c r="S71"/>
    </row>
    <row r="72" spans="3:19" ht="23.1" customHeight="1" x14ac:dyDescent="0.25">
      <c r="C72" s="2"/>
      <c r="D72" s="2"/>
      <c r="R72"/>
      <c r="S72"/>
    </row>
    <row r="73" spans="3:19" ht="23.1" customHeight="1" x14ac:dyDescent="0.25">
      <c r="C73" s="2"/>
      <c r="D73" s="2"/>
      <c r="R73"/>
      <c r="S73"/>
    </row>
    <row r="74" spans="3:19" ht="23.1" customHeight="1" x14ac:dyDescent="0.25">
      <c r="C74" s="2"/>
      <c r="D74" s="2"/>
      <c r="R74"/>
      <c r="S74"/>
    </row>
    <row r="75" spans="3:19" ht="23.1" customHeight="1" x14ac:dyDescent="0.25">
      <c r="C75" s="2"/>
      <c r="D75" s="2"/>
      <c r="R75"/>
      <c r="S75"/>
    </row>
    <row r="76" spans="3:19" ht="23.1" customHeight="1" x14ac:dyDescent="0.25">
      <c r="C76" s="2"/>
      <c r="D76" s="2"/>
      <c r="R76"/>
      <c r="S76"/>
    </row>
    <row r="77" spans="3:19" ht="23.1" customHeight="1" x14ac:dyDescent="0.25">
      <c r="C77" s="2"/>
      <c r="D77" s="2"/>
      <c r="R77"/>
      <c r="S77"/>
    </row>
    <row r="78" spans="3:19" ht="23.1" customHeight="1" x14ac:dyDescent="0.25">
      <c r="C78" s="2"/>
      <c r="D78" s="2"/>
      <c r="R78"/>
      <c r="S78"/>
    </row>
    <row r="79" spans="3:19" ht="23.1" customHeight="1" x14ac:dyDescent="0.25">
      <c r="C79" s="2"/>
      <c r="D79" s="2"/>
      <c r="R79"/>
      <c r="S79"/>
    </row>
    <row r="80" spans="3:19" ht="23.1" customHeight="1" x14ac:dyDescent="0.25">
      <c r="C80" s="2"/>
      <c r="D80" s="2"/>
      <c r="R80"/>
      <c r="S80"/>
    </row>
    <row r="81" spans="3:19" ht="23.1" customHeight="1" x14ac:dyDescent="0.25">
      <c r="C81" s="2"/>
      <c r="D81" s="2"/>
      <c r="R81"/>
      <c r="S81"/>
    </row>
    <row r="82" spans="3:19" ht="23.1" customHeight="1" x14ac:dyDescent="0.25">
      <c r="C82" s="2"/>
      <c r="D82" s="2"/>
      <c r="R82"/>
      <c r="S82"/>
    </row>
    <row r="83" spans="3:19" ht="23.1" customHeight="1" x14ac:dyDescent="0.25">
      <c r="C83" s="2"/>
      <c r="D83" s="2"/>
      <c r="R83"/>
      <c r="S83"/>
    </row>
    <row r="84" spans="3:19" ht="23.1" customHeight="1" x14ac:dyDescent="0.25">
      <c r="C84" s="2"/>
      <c r="D84" s="2"/>
      <c r="R84"/>
      <c r="S84"/>
    </row>
    <row r="85" spans="3:19" ht="23.1" customHeight="1" x14ac:dyDescent="0.25">
      <c r="C85" s="2"/>
      <c r="D85" s="2"/>
      <c r="R85"/>
      <c r="S85"/>
    </row>
    <row r="86" spans="3:19" ht="23.1" customHeight="1" x14ac:dyDescent="0.25">
      <c r="C86" s="13"/>
      <c r="Q86" s="2"/>
      <c r="S86"/>
    </row>
    <row r="87" spans="3:19" ht="23.1" customHeight="1" x14ac:dyDescent="0.25">
      <c r="C87" s="13"/>
      <c r="Q87" s="2"/>
      <c r="S87"/>
    </row>
    <row r="88" spans="3:19" ht="23.1" customHeight="1" x14ac:dyDescent="0.25">
      <c r="C88" s="13"/>
    </row>
    <row r="89" spans="3:19" ht="23.1" customHeight="1" x14ac:dyDescent="0.25">
      <c r="C89" s="13"/>
    </row>
    <row r="90" spans="3:19" ht="23.1" customHeight="1" x14ac:dyDescent="0.25"/>
    <row r="91" spans="3:19" ht="23.1" customHeight="1" x14ac:dyDescent="0.25"/>
    <row r="92" spans="3:19" ht="23.1" customHeight="1" x14ac:dyDescent="0.25"/>
    <row r="93" spans="3:19" ht="23.1" customHeight="1" x14ac:dyDescent="0.25"/>
    <row r="94" spans="3:19" ht="23.1" customHeight="1" x14ac:dyDescent="0.25"/>
    <row r="95" spans="3:19" ht="23.1" customHeight="1" x14ac:dyDescent="0.25"/>
    <row r="96" spans="3:19" ht="23.1" customHeight="1" x14ac:dyDescent="0.25"/>
    <row r="97" ht="23.1" customHeight="1" x14ac:dyDescent="0.25"/>
    <row r="98" ht="23.1" customHeight="1" x14ac:dyDescent="0.25"/>
    <row r="99" ht="23.1" customHeight="1" x14ac:dyDescent="0.25"/>
    <row r="100" ht="23.1" customHeight="1" x14ac:dyDescent="0.25"/>
    <row r="101" ht="23.1" customHeight="1" x14ac:dyDescent="0.25"/>
    <row r="102" ht="23.1" customHeight="1" x14ac:dyDescent="0.25"/>
    <row r="103" ht="23.1" customHeight="1" x14ac:dyDescent="0.25"/>
    <row r="104" ht="23.1" customHeight="1" x14ac:dyDescent="0.25"/>
    <row r="105" ht="23.1" customHeight="1" x14ac:dyDescent="0.25"/>
    <row r="106" ht="23.1" customHeight="1" x14ac:dyDescent="0.25"/>
    <row r="107" ht="23.1" customHeight="1" x14ac:dyDescent="0.25"/>
    <row r="108" ht="23.1" customHeight="1" x14ac:dyDescent="0.25"/>
    <row r="109" ht="23.1" customHeight="1" x14ac:dyDescent="0.25"/>
    <row r="110" ht="23.1" customHeight="1" x14ac:dyDescent="0.25"/>
    <row r="111" ht="23.1" customHeight="1" x14ac:dyDescent="0.25"/>
    <row r="112" ht="23.1" customHeight="1" x14ac:dyDescent="0.25"/>
    <row r="113" ht="23.1" customHeight="1" x14ac:dyDescent="0.25"/>
    <row r="114" ht="23.1" customHeight="1" x14ac:dyDescent="0.25"/>
    <row r="115" ht="23.1" customHeight="1" x14ac:dyDescent="0.25"/>
    <row r="116" ht="23.1" customHeight="1" x14ac:dyDescent="0.25"/>
    <row r="117" ht="23.1" customHeight="1" x14ac:dyDescent="0.25"/>
    <row r="118" ht="23.1" customHeight="1" x14ac:dyDescent="0.25"/>
    <row r="119" ht="23.1" customHeight="1" x14ac:dyDescent="0.25"/>
    <row r="120" ht="23.1" customHeight="1" x14ac:dyDescent="0.25"/>
    <row r="121" ht="23.1" customHeight="1" x14ac:dyDescent="0.25"/>
    <row r="122" ht="23.1" customHeight="1" x14ac:dyDescent="0.25"/>
    <row r="123" ht="23.1" customHeight="1" x14ac:dyDescent="0.25"/>
    <row r="124" ht="23.1" customHeight="1" x14ac:dyDescent="0.25"/>
    <row r="125" ht="23.1" customHeight="1" x14ac:dyDescent="0.25"/>
    <row r="126" ht="23.1" customHeight="1" x14ac:dyDescent="0.25"/>
    <row r="127" ht="23.1" customHeight="1" x14ac:dyDescent="0.25"/>
    <row r="128" ht="23.1" customHeight="1" x14ac:dyDescent="0.25"/>
    <row r="129" ht="23.1" customHeight="1" x14ac:dyDescent="0.25"/>
    <row r="130" ht="23.1" customHeight="1" x14ac:dyDescent="0.25"/>
    <row r="131" ht="23.1" customHeight="1" x14ac:dyDescent="0.25"/>
    <row r="132" ht="23.1" customHeight="1" x14ac:dyDescent="0.25"/>
    <row r="133" ht="23.1" customHeight="1" x14ac:dyDescent="0.25"/>
    <row r="134" ht="23.1" customHeight="1" x14ac:dyDescent="0.25"/>
    <row r="135" ht="23.1" customHeight="1" x14ac:dyDescent="0.25"/>
    <row r="136" ht="23.1" customHeight="1" x14ac:dyDescent="0.25"/>
    <row r="137" ht="23.1" customHeight="1" x14ac:dyDescent="0.25"/>
    <row r="138" ht="23.1" customHeight="1" x14ac:dyDescent="0.25"/>
    <row r="139" ht="23.1" customHeight="1" x14ac:dyDescent="0.25"/>
    <row r="140" ht="23.1" customHeight="1" x14ac:dyDescent="0.25"/>
    <row r="141" ht="23.1" customHeight="1" x14ac:dyDescent="0.25"/>
    <row r="142" ht="23.1" customHeight="1" x14ac:dyDescent="0.25"/>
    <row r="143" ht="23.1" customHeight="1" x14ac:dyDescent="0.25"/>
    <row r="144" ht="23.1" customHeight="1" x14ac:dyDescent="0.25"/>
    <row r="145" ht="23.1" customHeight="1" x14ac:dyDescent="0.25"/>
    <row r="146" ht="23.1" customHeight="1" x14ac:dyDescent="0.25"/>
    <row r="147" ht="23.1" customHeight="1" x14ac:dyDescent="0.25"/>
    <row r="148" ht="23.1" customHeight="1" x14ac:dyDescent="0.25"/>
    <row r="149" ht="23.1" customHeight="1" x14ac:dyDescent="0.25"/>
    <row r="150" ht="23.1" customHeight="1" x14ac:dyDescent="0.25"/>
    <row r="151" ht="23.1" customHeight="1" x14ac:dyDescent="0.25"/>
  </sheetData>
  <mergeCells count="10">
    <mergeCell ref="D6:E6"/>
    <mergeCell ref="G6:H6"/>
    <mergeCell ref="K6:L6"/>
    <mergeCell ref="C8:P8"/>
    <mergeCell ref="C3:F3"/>
    <mergeCell ref="B1:P1"/>
    <mergeCell ref="B2:P2"/>
    <mergeCell ref="D5:E5"/>
    <mergeCell ref="G5:H5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2" tint="-0.249977111117893"/>
  </sheetPr>
  <dimension ref="B1:AD151"/>
  <sheetViews>
    <sheetView tabSelected="1" view="pageBreakPreview" zoomScale="55" zoomScaleSheetLayoutView="55" workbookViewId="0">
      <selection activeCell="AB13" sqref="AB13:AC16"/>
    </sheetView>
  </sheetViews>
  <sheetFormatPr defaultColWidth="15" defaultRowHeight="20.100000000000001" customHeight="1" x14ac:dyDescent="0.25"/>
  <cols>
    <col min="1" max="1" width="4.85546875" customWidth="1"/>
    <col min="2" max="2" width="19.570312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5.7109375" customWidth="1"/>
    <col min="10" max="10" width="18.42578125" customWidth="1"/>
    <col min="11" max="11" width="20.42578125" customWidth="1"/>
    <col min="12" max="12" width="19.28515625" customWidth="1"/>
    <col min="13" max="13" width="14.5703125" customWidth="1"/>
    <col min="14" max="14" width="16.28515625" customWidth="1"/>
    <col min="15" max="15" width="14.85546875" customWidth="1"/>
    <col min="16" max="16" width="14.28515625" customWidth="1"/>
    <col min="17" max="17" width="14.7109375" customWidth="1"/>
    <col min="18" max="19" width="10.7109375" style="2" customWidth="1"/>
    <col min="20" max="32" width="10.7109375" customWidth="1"/>
  </cols>
  <sheetData>
    <row r="1" spans="2:30" ht="23.25" customHeight="1" x14ac:dyDescent="0.3">
      <c r="B1" s="29" t="s">
        <v>0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</row>
    <row r="2" spans="2:30" ht="20.100000000000001" customHeight="1" x14ac:dyDescent="0.25">
      <c r="B2" s="30" t="s">
        <v>25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</row>
    <row r="3" spans="2:30" ht="20.100000000000001" customHeight="1" x14ac:dyDescent="0.25">
      <c r="B3" s="1" t="s">
        <v>1</v>
      </c>
      <c r="C3" s="33" t="s">
        <v>32</v>
      </c>
      <c r="D3" s="33"/>
      <c r="E3" s="33"/>
      <c r="F3" s="33"/>
      <c r="G3" s="15"/>
      <c r="H3" s="15"/>
      <c r="I3" s="15"/>
      <c r="J3" s="15"/>
      <c r="K3" s="1"/>
      <c r="L3" s="1"/>
      <c r="M3" s="1"/>
      <c r="N3" s="1"/>
      <c r="O3" s="1"/>
      <c r="P3" s="1"/>
    </row>
    <row r="4" spans="2:30" ht="20.100000000000001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2:30" ht="20.100000000000001" customHeight="1" x14ac:dyDescent="0.25">
      <c r="C5" s="3" t="s">
        <v>2</v>
      </c>
      <c r="D5" s="32" t="s">
        <v>31</v>
      </c>
      <c r="E5" s="32"/>
      <c r="F5" s="4" t="s">
        <v>3</v>
      </c>
      <c r="G5" s="34"/>
      <c r="H5" s="35"/>
      <c r="I5" s="5"/>
      <c r="J5" s="3" t="s">
        <v>4</v>
      </c>
      <c r="K5" s="34" t="s">
        <v>14</v>
      </c>
      <c r="L5" s="35"/>
      <c r="M5" s="2"/>
      <c r="N5" s="2"/>
    </row>
    <row r="6" spans="2:30" ht="23.25" customHeight="1" x14ac:dyDescent="0.25">
      <c r="C6" s="3" t="s">
        <v>5</v>
      </c>
      <c r="D6" s="36" t="s">
        <v>30</v>
      </c>
      <c r="E6" s="37"/>
      <c r="F6" s="3" t="s">
        <v>6</v>
      </c>
      <c r="G6" s="36" t="s">
        <v>28</v>
      </c>
      <c r="H6" s="37"/>
      <c r="J6" s="3" t="s">
        <v>7</v>
      </c>
      <c r="K6" s="36" t="s">
        <v>13</v>
      </c>
      <c r="L6" s="37"/>
      <c r="M6" s="2"/>
      <c r="N6" s="2"/>
    </row>
    <row r="7" spans="2:30" ht="20.100000000000001" customHeight="1" x14ac:dyDescent="0.25">
      <c r="D7" s="2"/>
      <c r="E7" s="2"/>
      <c r="R7"/>
      <c r="S7"/>
    </row>
    <row r="8" spans="2:30" ht="50.25" customHeight="1" x14ac:dyDescent="0.25">
      <c r="C8" s="31" t="s">
        <v>26</v>
      </c>
      <c r="D8" s="31"/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R8"/>
      <c r="S8"/>
    </row>
    <row r="9" spans="2:30" ht="44.25" customHeight="1" x14ac:dyDescent="0.25">
      <c r="B9" s="14" t="s">
        <v>8</v>
      </c>
      <c r="C9" s="26" t="s">
        <v>15</v>
      </c>
      <c r="D9" s="26" t="s">
        <v>33</v>
      </c>
      <c r="E9" s="26" t="s">
        <v>34</v>
      </c>
      <c r="F9" s="26" t="s">
        <v>35</v>
      </c>
      <c r="G9" s="26" t="s">
        <v>44</v>
      </c>
      <c r="H9" s="26" t="s">
        <v>37</v>
      </c>
      <c r="I9" s="26" t="s">
        <v>38</v>
      </c>
      <c r="J9" s="26" t="s">
        <v>39</v>
      </c>
      <c r="K9" s="26" t="s">
        <v>40</v>
      </c>
      <c r="L9" s="26" t="s">
        <v>41</v>
      </c>
      <c r="M9" s="26" t="s">
        <v>42</v>
      </c>
      <c r="N9" s="26" t="s">
        <v>43</v>
      </c>
      <c r="O9" s="7" t="s">
        <v>10</v>
      </c>
      <c r="P9" s="7" t="s">
        <v>24</v>
      </c>
      <c r="R9"/>
      <c r="S9"/>
    </row>
    <row r="10" spans="2:30" ht="23.1" customHeight="1" x14ac:dyDescent="0.25">
      <c r="B10" s="6" t="s">
        <v>16</v>
      </c>
      <c r="C10" s="8">
        <f>'27-02-KYEBANDO RBT-KISAASI RBT'!C10+'27-02-KISAASI RBT-KYEBANDO RBT'!C10</f>
        <v>6414</v>
      </c>
      <c r="D10" s="8">
        <f>'27-02-KYEBANDO RBT-KISAASI RBT'!D10+'27-02-KISAASI RBT-KYEBANDO RBT'!D10</f>
        <v>12427.798189932662</v>
      </c>
      <c r="E10" s="8">
        <f>'27-02-KYEBANDO RBT-KISAASI RBT'!E10+'27-02-KISAASI RBT-KYEBANDO RBT'!E10</f>
        <v>1923.1502822398802</v>
      </c>
      <c r="F10" s="8">
        <f>'27-02-KYEBANDO RBT-KISAASI RBT'!F10+'27-02-KISAASI RBT-KYEBANDO RBT'!F10</f>
        <v>1756.6228373271956</v>
      </c>
      <c r="G10" s="8">
        <f>'27-02-KYEBANDO RBT-KISAASI RBT'!G10+'27-02-KISAASI RBT-KYEBANDO RBT'!G10</f>
        <v>5080.5039700188154</v>
      </c>
      <c r="H10" s="8">
        <f>'27-02-KYEBANDO RBT-KISAASI RBT'!H10+'27-02-KISAASI RBT-KYEBANDO RBT'!H10</f>
        <v>324.80352994230799</v>
      </c>
      <c r="I10" s="8">
        <f>'27-02-KYEBANDO RBT-KISAASI RBT'!I10+'27-02-KISAASI RBT-KYEBANDO RBT'!I10</f>
        <v>108.51788452268025</v>
      </c>
      <c r="J10" s="8">
        <f>'27-02-KYEBANDO RBT-KISAASI RBT'!J10+'27-02-KISAASI RBT-KYEBANDO RBT'!J10</f>
        <v>1966.3240642542796</v>
      </c>
      <c r="K10" s="8">
        <f>'27-02-KYEBANDO RBT-KISAASI RBT'!K10+'27-02-KISAASI RBT-KYEBANDO RBT'!K10</f>
        <v>1622.9341378077031</v>
      </c>
      <c r="L10" s="8">
        <f>'27-02-KYEBANDO RBT-KISAASI RBT'!L10+'27-02-KISAASI RBT-KYEBANDO RBT'!L10</f>
        <v>719.53525121681923</v>
      </c>
      <c r="M10" s="8">
        <f>'27-02-KYEBANDO RBT-KISAASI RBT'!M10+'27-02-KISAASI RBT-KYEBANDO RBT'!M10</f>
        <v>867.559646694761</v>
      </c>
      <c r="N10" s="8">
        <f>'27-02-KYEBANDO RBT-KISAASI RBT'!N10+'27-02-KISAASI RBT-KYEBANDO RBT'!N10</f>
        <v>1.2502060428880213</v>
      </c>
      <c r="O10" s="9">
        <f t="shared" ref="O10:O16" si="0">SUM(D10:N10)</f>
        <v>26798.999999999993</v>
      </c>
      <c r="P10" s="9">
        <f t="shared" ref="P10:P16" si="1">SUM(C10:N10)</f>
        <v>33212.999999999993</v>
      </c>
      <c r="R10"/>
      <c r="S10"/>
    </row>
    <row r="11" spans="2:30" s="10" customFormat="1" ht="23.1" customHeight="1" x14ac:dyDescent="0.25">
      <c r="B11" s="6" t="s">
        <v>20</v>
      </c>
      <c r="C11" s="8">
        <f>'27-02-KYEBANDO RBT-KISAASI RBT'!C11+'27-02-KISAASI RBT-KYEBANDO RBT'!C11</f>
        <v>6923</v>
      </c>
      <c r="D11" s="8">
        <f>'27-02-KYEBANDO RBT-KISAASI RBT'!D11+'27-02-KISAASI RBT-KYEBANDO RBT'!D11</f>
        <v>12094.832068048576</v>
      </c>
      <c r="E11" s="8">
        <f>'27-02-KYEBANDO RBT-KISAASI RBT'!E11+'27-02-KISAASI RBT-KYEBANDO RBT'!E11</f>
        <v>1871.6251543377855</v>
      </c>
      <c r="F11" s="8">
        <f>'27-02-KYEBANDO RBT-KISAASI RBT'!F11+'27-02-KISAASI RBT-KYEBANDO RBT'!F11</f>
        <v>1709.559320136221</v>
      </c>
      <c r="G11" s="8">
        <f>'27-02-KYEBANDO RBT-KISAASI RBT'!G11+'27-02-KISAASI RBT-KYEBANDO RBT'!G11</f>
        <v>4944.3868816769545</v>
      </c>
      <c r="H11" s="8">
        <f>'27-02-KYEBANDO RBT-KISAASI RBT'!H11+'27-02-KISAASI RBT-KYEBANDO RBT'!H11</f>
        <v>316.1013793210692</v>
      </c>
      <c r="I11" s="8">
        <f>'27-02-KYEBANDO RBT-KISAASI RBT'!I11+'27-02-KISAASI RBT-KYEBANDO RBT'!I11</f>
        <v>105.61046853375214</v>
      </c>
      <c r="J11" s="8">
        <f>'27-02-KYEBANDO RBT-KISAASI RBT'!J11+'27-02-KISAASI RBT-KYEBANDO RBT'!J11</f>
        <v>1913.6422224641169</v>
      </c>
      <c r="K11" s="8">
        <f>'27-02-KYEBANDO RBT-KISAASI RBT'!K11+'27-02-KISAASI RBT-KYEBANDO RBT'!K11</f>
        <v>1579.4524142006308</v>
      </c>
      <c r="L11" s="8">
        <f>'27-02-KYEBANDO RBT-KISAASI RBT'!L11+'27-02-KISAASI RBT-KYEBANDO RBT'!L11</f>
        <v>700.25743076181436</v>
      </c>
      <c r="M11" s="8">
        <f>'27-02-KYEBANDO RBT-KISAASI RBT'!M11+'27-02-KISAASI RBT-KYEBANDO RBT'!M11</f>
        <v>844.31595005209374</v>
      </c>
      <c r="N11" s="8">
        <f>'27-02-KYEBANDO RBT-KISAASI RBT'!N11+'27-02-KISAASI RBT-KYEBANDO RBT'!N11</f>
        <v>1.2167104669787112</v>
      </c>
      <c r="O11" s="9">
        <f t="shared" si="0"/>
        <v>26080.999999999993</v>
      </c>
      <c r="P11" s="9">
        <f t="shared" si="1"/>
        <v>33003.999999999993</v>
      </c>
    </row>
    <row r="12" spans="2:30" ht="23.1" customHeight="1" x14ac:dyDescent="0.25">
      <c r="B12" s="6" t="s">
        <v>21</v>
      </c>
      <c r="C12" s="8">
        <f>'27-02-KYEBANDO RBT-KISAASI RBT'!C12+'27-02-KISAASI RBT-KYEBANDO RBT'!C12</f>
        <v>6575</v>
      </c>
      <c r="D12" s="8">
        <f>'27-02-KYEBANDO RBT-KISAASI RBT'!D12+'27-02-KISAASI RBT-KYEBANDO RBT'!D12</f>
        <v>11123.294428289297</v>
      </c>
      <c r="E12" s="8">
        <f>'27-02-KYEBANDO RBT-KISAASI RBT'!E12+'27-02-KISAASI RBT-KYEBANDO RBT'!E12</f>
        <v>1721.283729609529</v>
      </c>
      <c r="F12" s="8">
        <f>'27-02-KYEBANDO RBT-KISAASI RBT'!F12+'27-02-KISAASI RBT-KYEBANDO RBT'!F12</f>
        <v>1572.2361049341434</v>
      </c>
      <c r="G12" s="8">
        <f>'27-02-KYEBANDO RBT-KISAASI RBT'!G12+'27-02-KISAASI RBT-KYEBANDO RBT'!G12</f>
        <v>4547.2207255819721</v>
      </c>
      <c r="H12" s="8">
        <f>'27-02-KYEBANDO RBT-KISAASI RBT'!H12+'27-02-KISAASI RBT-KYEBANDO RBT'!H12</f>
        <v>290.71000668667483</v>
      </c>
      <c r="I12" s="8">
        <f>'27-02-KYEBANDO RBT-KISAASI RBT'!I12+'27-02-KISAASI RBT-KYEBANDO RBT'!I12</f>
        <v>97.127130794470247</v>
      </c>
      <c r="J12" s="8">
        <f>'27-02-KYEBANDO RBT-KISAASI RBT'!J12+'27-02-KISAASI RBT-KYEBANDO RBT'!J12</f>
        <v>1759.9257063772213</v>
      </c>
      <c r="K12" s="8">
        <f>'27-02-KYEBANDO RBT-KISAASI RBT'!K12+'27-02-KISAASI RBT-KYEBANDO RBT'!K12</f>
        <v>1452.5802540936443</v>
      </c>
      <c r="L12" s="8">
        <f>'27-02-KYEBANDO RBT-KISAASI RBT'!L12+'27-02-KISAASI RBT-KYEBANDO RBT'!L12</f>
        <v>644.00807999129177</v>
      </c>
      <c r="M12" s="8">
        <f>'27-02-KYEBANDO RBT-KISAASI RBT'!M12+'27-02-KISAASI RBT-KYEBANDO RBT'!M12</f>
        <v>776.49485748052302</v>
      </c>
      <c r="N12" s="8">
        <f>'27-02-KYEBANDO RBT-KISAASI RBT'!N12+'27-02-KISAASI RBT-KYEBANDO RBT'!N12</f>
        <v>1.1189761612266158</v>
      </c>
      <c r="O12" s="9">
        <f t="shared" si="0"/>
        <v>23985.999999999989</v>
      </c>
      <c r="P12" s="9">
        <f t="shared" si="1"/>
        <v>30560.999999999989</v>
      </c>
      <c r="R12"/>
      <c r="S12"/>
    </row>
    <row r="13" spans="2:30" ht="23.1" customHeight="1" x14ac:dyDescent="0.25">
      <c r="B13" s="6" t="s">
        <v>17</v>
      </c>
      <c r="C13" s="8">
        <f>'27-02-KYEBANDO RBT-KISAASI RBT'!C13+'27-02-KISAASI RBT-KYEBANDO RBT'!C13</f>
        <v>6887</v>
      </c>
      <c r="D13" s="8">
        <f>'27-02-KYEBANDO RBT-KISAASI RBT'!D13+'27-02-KISAASI RBT-KYEBANDO RBT'!D13</f>
        <v>12099.469479216878</v>
      </c>
      <c r="E13" s="8">
        <f>'27-02-KYEBANDO RBT-KISAASI RBT'!E13+'27-02-KISAASI RBT-KYEBANDO RBT'!E13</f>
        <v>1872.3427745035528</v>
      </c>
      <c r="F13" s="8">
        <f>'27-02-KYEBANDO RBT-KISAASI RBT'!F13+'27-02-KISAASI RBT-KYEBANDO RBT'!F13</f>
        <v>1710.2148008770423</v>
      </c>
      <c r="G13" s="8">
        <f>'27-02-KYEBANDO RBT-KISAASI RBT'!G13+'27-02-KISAASI RBT-KYEBANDO RBT'!G13</f>
        <v>4946.2826628516323</v>
      </c>
      <c r="H13" s="8">
        <f>'27-02-KYEBANDO RBT-KISAASI RBT'!H13+'27-02-KISAASI RBT-KYEBANDO RBT'!H13</f>
        <v>316.2225791904458</v>
      </c>
      <c r="I13" s="8">
        <f>'27-02-KYEBANDO RBT-KISAASI RBT'!I13+'27-02-KISAASI RBT-KYEBANDO RBT'!I13</f>
        <v>105.65096179265086</v>
      </c>
      <c r="J13" s="8">
        <f>'27-02-KYEBANDO RBT-KISAASI RBT'!J13+'27-02-KISAASI RBT-KYEBANDO RBT'!J13</f>
        <v>1914.3759528511666</v>
      </c>
      <c r="K13" s="8">
        <f>'27-02-KYEBANDO RBT-KISAASI RBT'!K13+'27-02-KISAASI RBT-KYEBANDO RBT'!K13</f>
        <v>1580.058009236941</v>
      </c>
      <c r="L13" s="8">
        <f>'27-02-KYEBANDO RBT-KISAASI RBT'!L13+'27-02-KISAASI RBT-KYEBANDO RBT'!L13</f>
        <v>700.5259240829148</v>
      </c>
      <c r="M13" s="8">
        <f>'27-02-KYEBANDO RBT-KISAASI RBT'!M13+'27-02-KISAASI RBT-KYEBANDO RBT'!M13</f>
        <v>844.63967841759063</v>
      </c>
      <c r="N13" s="8">
        <f>'27-02-KYEBANDO RBT-KISAASI RBT'!N13+'27-02-KISAASI RBT-KYEBANDO RBT'!N13</f>
        <v>1.2171769791780052</v>
      </c>
      <c r="O13" s="9">
        <f t="shared" si="0"/>
        <v>26090.999999999993</v>
      </c>
      <c r="P13" s="9">
        <f t="shared" si="1"/>
        <v>32977.999999999985</v>
      </c>
      <c r="R13"/>
      <c r="S13"/>
      <c r="AB13" s="27">
        <f>AVERAGE(O10:O13)</f>
        <v>25739.249999999993</v>
      </c>
      <c r="AC13" s="27">
        <f>AVERAGE(P10:P13)</f>
        <v>32438.999999999989</v>
      </c>
    </row>
    <row r="14" spans="2:30" ht="23.1" customHeight="1" x14ac:dyDescent="0.25">
      <c r="B14" s="6" t="s">
        <v>18</v>
      </c>
      <c r="C14" s="8">
        <f>'27-02-KYEBANDO RBT-KISAASI RBT'!C14+'27-02-KISAASI RBT-KYEBANDO RBT'!C14</f>
        <v>6457</v>
      </c>
      <c r="D14" s="8">
        <f>'27-02-KYEBANDO RBT-KISAASI RBT'!D14+'27-02-KISAASI RBT-KYEBANDO RBT'!D14</f>
        <v>12527.038788934327</v>
      </c>
      <c r="E14" s="8">
        <f>'27-02-KYEBANDO RBT-KISAASI RBT'!E14+'27-02-KISAASI RBT-KYEBANDO RBT'!E14</f>
        <v>1938.5073537873011</v>
      </c>
      <c r="F14" s="8">
        <f>'27-02-KYEBANDO RBT-KISAASI RBT'!F14+'27-02-KISAASI RBT-KYEBANDO RBT'!F14</f>
        <v>1770.6501251807729</v>
      </c>
      <c r="G14" s="8">
        <f>'27-02-KYEBANDO RBT-KISAASI RBT'!G14+'27-02-KISAASI RBT-KYEBANDO RBT'!G14</f>
        <v>5121.0736871569179</v>
      </c>
      <c r="H14" s="8">
        <f>'27-02-KYEBANDO RBT-KISAASI RBT'!H14+'27-02-KISAASI RBT-KYEBANDO RBT'!H14</f>
        <v>327.39720714696682</v>
      </c>
      <c r="I14" s="8">
        <f>'27-02-KYEBANDO RBT-KISAASI RBT'!I14+'27-02-KISAASI RBT-KYEBANDO RBT'!I14</f>
        <v>109.38444026311285</v>
      </c>
      <c r="J14" s="8">
        <f>'27-02-KYEBANDO RBT-KISAASI RBT'!J14+'27-02-KISAASI RBT-KYEBANDO RBT'!J14</f>
        <v>1982.0258945371415</v>
      </c>
      <c r="K14" s="8">
        <f>'27-02-KYEBANDO RBT-KISAASI RBT'!K14+'27-02-KISAASI RBT-KYEBANDO RBT'!K14</f>
        <v>1635.8938715847414</v>
      </c>
      <c r="L14" s="8">
        <f>'27-02-KYEBANDO RBT-KISAASI RBT'!L14+'27-02-KISAASI RBT-KYEBANDO RBT'!L14</f>
        <v>725.28100828836671</v>
      </c>
      <c r="M14" s="8">
        <f>'27-02-KYEBANDO RBT-KISAASI RBT'!M14+'27-02-KISAASI RBT-KYEBANDO RBT'!M14</f>
        <v>874.48743371639159</v>
      </c>
      <c r="N14" s="8">
        <f>'27-02-KYEBANDO RBT-KISAASI RBT'!N14+'27-02-KISAASI RBT-KYEBANDO RBT'!N14</f>
        <v>1.2601894039529131</v>
      </c>
      <c r="O14" s="9">
        <f t="shared" si="0"/>
        <v>27012.999999999993</v>
      </c>
      <c r="P14" s="9">
        <f t="shared" si="1"/>
        <v>33469.999999999985</v>
      </c>
      <c r="R14"/>
      <c r="S14"/>
      <c r="AB14" s="28">
        <f>O14/AB13</f>
        <v>1.0494866789047854</v>
      </c>
      <c r="AC14" s="28">
        <f>P14/AC13</f>
        <v>1.0317827306637071</v>
      </c>
    </row>
    <row r="15" spans="2:30" ht="23.1" customHeight="1" x14ac:dyDescent="0.25">
      <c r="B15" s="6" t="s">
        <v>19</v>
      </c>
      <c r="C15" s="8">
        <f>'27-02-KYEBANDO RBT-KISAASI RBT'!C15+'27-02-KISAASI RBT-KYEBANDO RBT'!C15</f>
        <v>7180</v>
      </c>
      <c r="D15" s="8">
        <f>'27-02-KYEBANDO RBT-KISAASI RBT'!D15+'27-02-KISAASI RBT-KYEBANDO RBT'!D15</f>
        <v>13021.386819475327</v>
      </c>
      <c r="E15" s="8">
        <f>'27-02-KYEBANDO RBT-KISAASI RBT'!E15+'27-02-KISAASI RBT-KYEBANDO RBT'!E15</f>
        <v>2015.005663458099</v>
      </c>
      <c r="F15" s="8">
        <f>'27-02-KYEBANDO RBT-KISAASI RBT'!F15+'27-02-KISAASI RBT-KYEBANDO RBT'!F15</f>
        <v>1840.5243721523311</v>
      </c>
      <c r="G15" s="8">
        <f>'27-02-KYEBANDO RBT-KISAASI RBT'!G15+'27-02-KISAASI RBT-KYEBANDO RBT'!G15</f>
        <v>5323.163960377562</v>
      </c>
      <c r="H15" s="8">
        <f>'27-02-KYEBANDO RBT-KISAASI RBT'!H15+'27-02-KISAASI RBT-KYEBANDO RBT'!H15</f>
        <v>340.31711322251078</v>
      </c>
      <c r="I15" s="8">
        <f>'27-02-KYEBANDO RBT-KISAASI RBT'!I15+'27-02-KISAASI RBT-KYEBANDO RBT'!I15</f>
        <v>113.70102166171642</v>
      </c>
      <c r="J15" s="8">
        <f>'27-02-KYEBANDO RBT-KISAASI RBT'!J15+'27-02-KISAASI RBT-KYEBANDO RBT'!J15</f>
        <v>2060.2415537966313</v>
      </c>
      <c r="K15" s="8">
        <f>'27-02-KYEBANDO RBT-KISAASI RBT'!K15+'27-02-KISAASI RBT-KYEBANDO RBT'!K15</f>
        <v>1700.4503024554087</v>
      </c>
      <c r="L15" s="8">
        <f>'27-02-KYEBANDO RBT-KISAASI RBT'!L15+'27-02-KISAASI RBT-KYEBANDO RBT'!L15</f>
        <v>753.90239631766372</v>
      </c>
      <c r="M15" s="8">
        <f>'27-02-KYEBANDO RBT-KISAASI RBT'!M15+'27-02-KISAASI RBT-KYEBANDO RBT'!M15</f>
        <v>908.99687747834605</v>
      </c>
      <c r="N15" s="8">
        <f>'27-02-KYEBANDO RBT-KISAASI RBT'!N15+'27-02-KISAASI RBT-KYEBANDO RBT'!N15</f>
        <v>1.3099196043976549</v>
      </c>
      <c r="O15" s="9">
        <f t="shared" si="0"/>
        <v>28078.999999999993</v>
      </c>
      <c r="P15" s="9">
        <f t="shared" si="1"/>
        <v>35259</v>
      </c>
      <c r="R15"/>
      <c r="S15"/>
      <c r="AB15" s="28">
        <f>O15/AB13</f>
        <v>1.0909020270598406</v>
      </c>
      <c r="AC15" s="28">
        <f>P15/AC13</f>
        <v>1.0869323961897719</v>
      </c>
    </row>
    <row r="16" spans="2:30" ht="23.1" customHeight="1" x14ac:dyDescent="0.25">
      <c r="B16" s="6" t="s">
        <v>22</v>
      </c>
      <c r="C16" s="8">
        <f>'27-02-KYEBANDO RBT-KISAASI RBT'!C16+'27-02-KISAASI RBT-KYEBANDO RBT'!C16</f>
        <v>8031</v>
      </c>
      <c r="D16" s="8">
        <f>'27-02-KYEBANDO RBT-KISAASI RBT'!D16+'27-02-KISAASI RBT-KYEBANDO RBT'!D16</f>
        <v>11392.264276050815</v>
      </c>
      <c r="E16" s="8">
        <f>'27-02-KYEBANDO RBT-KISAASI RBT'!E16+'27-02-KISAASI RBT-KYEBANDO RBT'!E16</f>
        <v>1762.9056992240344</v>
      </c>
      <c r="F16" s="8">
        <f>'27-02-KYEBANDO RBT-KISAASI RBT'!F16+'27-02-KISAASI RBT-KYEBANDO RBT'!F16</f>
        <v>1610.2539879017831</v>
      </c>
      <c r="G16" s="8">
        <f>'27-02-KYEBANDO RBT-KISAASI RBT'!G16+'27-02-KISAASI RBT-KYEBANDO RBT'!G16</f>
        <v>4657.17603371328</v>
      </c>
      <c r="H16" s="8">
        <f>'27-02-KYEBANDO RBT-KISAASI RBT'!H16+'27-02-KISAASI RBT-KYEBANDO RBT'!H16</f>
        <v>297.73959911051668</v>
      </c>
      <c r="I16" s="8">
        <f>'27-02-KYEBANDO RBT-KISAASI RBT'!I16+'27-02-KISAASI RBT-KYEBANDO RBT'!I16</f>
        <v>99.475739810596025</v>
      </c>
      <c r="J16" s="8">
        <f>'27-02-KYEBANDO RBT-KISAASI RBT'!J16+'27-02-KISAASI RBT-KYEBANDO RBT'!J16</f>
        <v>1802.4820688260993</v>
      </c>
      <c r="K16" s="8">
        <f>'27-02-KYEBANDO RBT-KISAASI RBT'!K16+'27-02-KISAASI RBT-KYEBANDO RBT'!K16</f>
        <v>1487.7047661996357</v>
      </c>
      <c r="L16" s="8">
        <f>'27-02-KYEBANDO RBT-KISAASI RBT'!L16+'27-02-KISAASI RBT-KYEBANDO RBT'!L16</f>
        <v>659.58069261511184</v>
      </c>
      <c r="M16" s="8">
        <f>'27-02-KYEBANDO RBT-KISAASI RBT'!M16+'27-02-KISAASI RBT-KYEBANDO RBT'!M16</f>
        <v>795.27110267933506</v>
      </c>
      <c r="N16" s="8">
        <f>'27-02-KYEBANDO RBT-KISAASI RBT'!N16+'27-02-KISAASI RBT-KYEBANDO RBT'!N16</f>
        <v>1.1460338687856686</v>
      </c>
      <c r="O16" s="9">
        <f t="shared" si="0"/>
        <v>24565.999999999996</v>
      </c>
      <c r="P16" s="9">
        <f t="shared" si="1"/>
        <v>32596.999999999996</v>
      </c>
      <c r="R16"/>
      <c r="S16"/>
      <c r="AB16" s="28">
        <f>O16/AB13</f>
        <v>0.95441786376836946</v>
      </c>
      <c r="AC16" s="28">
        <f>P16/AC13</f>
        <v>1.0048706803538952</v>
      </c>
    </row>
    <row r="17" spans="2:19" ht="22.5" customHeight="1" x14ac:dyDescent="0.25">
      <c r="B17" s="16" t="s">
        <v>23</v>
      </c>
      <c r="C17" s="11">
        <f t="shared" ref="C17:P17" si="2">AVERAGE(C10:C16)</f>
        <v>6923.8571428571431</v>
      </c>
      <c r="D17" s="11">
        <f t="shared" si="2"/>
        <v>12098.012007135412</v>
      </c>
      <c r="E17" s="11">
        <f t="shared" si="2"/>
        <v>1872.1172367371692</v>
      </c>
      <c r="F17" s="11">
        <f t="shared" si="2"/>
        <v>1710.0087926442127</v>
      </c>
      <c r="G17" s="11">
        <f t="shared" si="2"/>
        <v>4945.6868459110192</v>
      </c>
      <c r="H17" s="11">
        <f t="shared" si="2"/>
        <v>316.18448780292749</v>
      </c>
      <c r="I17" s="11">
        <f t="shared" si="2"/>
        <v>105.63823533985412</v>
      </c>
      <c r="J17" s="11">
        <f t="shared" si="2"/>
        <v>1914.1453518723795</v>
      </c>
      <c r="K17" s="11">
        <f t="shared" si="2"/>
        <v>1579.8676793683865</v>
      </c>
      <c r="L17" s="11">
        <f t="shared" si="2"/>
        <v>700.44154046771177</v>
      </c>
      <c r="M17" s="11">
        <f t="shared" si="2"/>
        <v>844.53793521700595</v>
      </c>
      <c r="N17" s="11">
        <f t="shared" si="2"/>
        <v>1.2170303610582274</v>
      </c>
      <c r="O17" s="12">
        <f t="shared" si="2"/>
        <v>26087.857142857138</v>
      </c>
      <c r="P17" s="12">
        <f t="shared" si="2"/>
        <v>33011.714285714275</v>
      </c>
      <c r="R17"/>
      <c r="S17"/>
    </row>
    <row r="18" spans="2:19" ht="23.1" customHeight="1" x14ac:dyDescent="0.25">
      <c r="B18" s="18" t="s">
        <v>11</v>
      </c>
      <c r="C18" s="17">
        <f>C$17/P$17</f>
        <v>0.20973939986671405</v>
      </c>
      <c r="D18" s="17">
        <f t="shared" ref="D18:N18" si="3">D17/$P$17</f>
        <v>0.36647633329271823</v>
      </c>
      <c r="E18" s="17">
        <f t="shared" si="3"/>
        <v>5.6710694286704236E-2</v>
      </c>
      <c r="F18" s="17">
        <f t="shared" si="3"/>
        <v>5.1800060361730869E-2</v>
      </c>
      <c r="G18" s="17">
        <f t="shared" si="3"/>
        <v>0.14981611688221994</v>
      </c>
      <c r="H18" s="17">
        <f t="shared" si="3"/>
        <v>9.5779481509615343E-3</v>
      </c>
      <c r="I18" s="17">
        <f t="shared" si="3"/>
        <v>3.2000227078655156E-3</v>
      </c>
      <c r="J18" s="17">
        <f t="shared" si="3"/>
        <v>5.7983821600586204E-2</v>
      </c>
      <c r="K18" s="17">
        <f t="shared" si="3"/>
        <v>4.7857789683223739E-2</v>
      </c>
      <c r="L18" s="17">
        <f t="shared" si="3"/>
        <v>2.1217969306453918E-2</v>
      </c>
      <c r="M18" s="17">
        <f t="shared" si="3"/>
        <v>2.5582977239763563E-2</v>
      </c>
      <c r="N18" s="17">
        <f t="shared" si="3"/>
        <v>3.6866621058358477E-5</v>
      </c>
      <c r="O18" s="12">
        <f>SUM(O10:O16)</f>
        <v>182614.99999999997</v>
      </c>
      <c r="P18" s="12">
        <f>SUM(P10:P16)</f>
        <v>231081.99999999994</v>
      </c>
      <c r="R18"/>
      <c r="S18"/>
    </row>
    <row r="19" spans="2:19" ht="23.1" customHeight="1" x14ac:dyDescent="0.25">
      <c r="B19" s="19" t="s">
        <v>12</v>
      </c>
      <c r="C19" s="17"/>
      <c r="D19" s="17">
        <f t="shared" ref="D19:N19" si="4">D$17/$O$17</f>
        <v>0.46374111683020508</v>
      </c>
      <c r="E19" s="17">
        <f t="shared" si="4"/>
        <v>7.1762016576733492E-2</v>
      </c>
      <c r="F19" s="17">
        <f t="shared" si="4"/>
        <v>6.5548074082137239E-2</v>
      </c>
      <c r="G19" s="17">
        <f t="shared" si="4"/>
        <v>0.18957811746777176</v>
      </c>
      <c r="H19" s="17">
        <f t="shared" si="4"/>
        <v>1.2119986937658422E-2</v>
      </c>
      <c r="I19" s="17">
        <f t="shared" si="4"/>
        <v>4.0493258898720201E-3</v>
      </c>
      <c r="J19" s="17">
        <f t="shared" si="4"/>
        <v>7.3373038704962132E-2</v>
      </c>
      <c r="K19" s="17">
        <f t="shared" si="4"/>
        <v>6.0559503631019945E-2</v>
      </c>
      <c r="L19" s="17">
        <f t="shared" si="4"/>
        <v>2.6849332110034683E-2</v>
      </c>
      <c r="M19" s="17">
        <f t="shared" si="4"/>
        <v>3.2372836549675779E-2</v>
      </c>
      <c r="N19" s="17">
        <f t="shared" si="4"/>
        <v>4.6651219929401165E-5</v>
      </c>
      <c r="O19" s="12"/>
      <c r="P19" s="12"/>
      <c r="R19"/>
      <c r="S19"/>
    </row>
    <row r="20" spans="2:19" ht="23.1" customHeight="1" x14ac:dyDescent="0.25">
      <c r="D20" s="2"/>
      <c r="E20" s="2"/>
      <c r="R20"/>
      <c r="S20"/>
    </row>
    <row r="21" spans="2:19" ht="23.1" customHeight="1" x14ac:dyDescent="0.25">
      <c r="D21" s="2"/>
      <c r="E21" s="2"/>
      <c r="R21"/>
      <c r="S21"/>
    </row>
    <row r="22" spans="2:19" ht="23.1" customHeight="1" x14ac:dyDescent="0.25">
      <c r="D22" s="2"/>
      <c r="E22" s="2"/>
      <c r="R22"/>
      <c r="S22"/>
    </row>
    <row r="23" spans="2:19" ht="23.1" customHeight="1" x14ac:dyDescent="0.25">
      <c r="C23" s="2"/>
      <c r="D23" s="2"/>
      <c r="R23"/>
      <c r="S23"/>
    </row>
    <row r="24" spans="2:19" ht="23.1" customHeight="1" x14ac:dyDescent="0.25">
      <c r="C24" s="2"/>
      <c r="D24" s="2"/>
      <c r="R24"/>
      <c r="S24"/>
    </row>
    <row r="25" spans="2:19" ht="23.1" customHeight="1" x14ac:dyDescent="0.25">
      <c r="C25" s="2"/>
      <c r="D25" s="2"/>
      <c r="R25"/>
      <c r="S25"/>
    </row>
    <row r="26" spans="2:19" ht="23.1" customHeight="1" x14ac:dyDescent="0.25">
      <c r="C26" s="2"/>
      <c r="D26" s="2"/>
      <c r="R26"/>
      <c r="S26"/>
    </row>
    <row r="27" spans="2:19" ht="23.1" customHeight="1" x14ac:dyDescent="0.25">
      <c r="C27" s="2"/>
      <c r="D27" s="2"/>
      <c r="R27"/>
      <c r="S27"/>
    </row>
    <row r="28" spans="2:19" ht="23.1" customHeight="1" x14ac:dyDescent="0.25">
      <c r="C28" s="2"/>
      <c r="D28" s="2"/>
      <c r="R28"/>
      <c r="S28"/>
    </row>
    <row r="29" spans="2:19" ht="23.1" customHeight="1" x14ac:dyDescent="0.25">
      <c r="C29" s="2"/>
      <c r="D29" s="2"/>
      <c r="R29"/>
      <c r="S29"/>
    </row>
    <row r="30" spans="2:19" ht="23.1" customHeight="1" x14ac:dyDescent="0.25">
      <c r="C30" s="2"/>
      <c r="D30" s="2"/>
      <c r="R30"/>
      <c r="S30"/>
    </row>
    <row r="31" spans="2:19" ht="23.1" customHeight="1" x14ac:dyDescent="0.25">
      <c r="C31" s="2"/>
      <c r="D31" s="2"/>
      <c r="R31"/>
      <c r="S31"/>
    </row>
    <row r="32" spans="2:19" ht="23.1" customHeight="1" x14ac:dyDescent="0.25">
      <c r="C32" s="2"/>
      <c r="D32" s="2"/>
      <c r="R32"/>
      <c r="S32"/>
    </row>
    <row r="33" spans="3:19" ht="23.1" customHeight="1" x14ac:dyDescent="0.25">
      <c r="C33" s="2"/>
      <c r="D33" s="2"/>
      <c r="R33"/>
      <c r="S33"/>
    </row>
    <row r="34" spans="3:19" ht="23.1" customHeight="1" x14ac:dyDescent="0.25">
      <c r="C34" s="2"/>
      <c r="D34" s="2"/>
      <c r="R34"/>
      <c r="S34"/>
    </row>
    <row r="35" spans="3:19" ht="23.1" customHeight="1" x14ac:dyDescent="0.25">
      <c r="C35" s="2"/>
      <c r="D35" s="2"/>
      <c r="R35"/>
      <c r="S35"/>
    </row>
    <row r="36" spans="3:19" ht="23.1" customHeight="1" x14ac:dyDescent="0.25">
      <c r="C36" s="2"/>
      <c r="D36" s="2"/>
      <c r="R36"/>
      <c r="S36"/>
    </row>
    <row r="37" spans="3:19" ht="23.1" customHeight="1" x14ac:dyDescent="0.25">
      <c r="C37" s="2"/>
      <c r="D37" s="2"/>
      <c r="R37"/>
      <c r="S37"/>
    </row>
    <row r="38" spans="3:19" ht="23.1" customHeight="1" x14ac:dyDescent="0.25">
      <c r="C38" s="2"/>
      <c r="D38" s="2"/>
      <c r="R38"/>
      <c r="S38"/>
    </row>
    <row r="39" spans="3:19" ht="23.1" customHeight="1" x14ac:dyDescent="0.25">
      <c r="C39" s="2"/>
      <c r="D39" s="2"/>
      <c r="R39"/>
      <c r="S39"/>
    </row>
    <row r="40" spans="3:19" ht="23.1" customHeight="1" x14ac:dyDescent="0.25">
      <c r="C40" s="2"/>
      <c r="D40" s="2"/>
      <c r="R40"/>
      <c r="S40"/>
    </row>
    <row r="41" spans="3:19" ht="23.1" customHeight="1" x14ac:dyDescent="0.25">
      <c r="C41" s="2"/>
      <c r="D41" s="2"/>
      <c r="R41"/>
      <c r="S41"/>
    </row>
    <row r="42" spans="3:19" ht="23.1" customHeight="1" x14ac:dyDescent="0.25">
      <c r="C42" s="2"/>
      <c r="D42" s="2"/>
      <c r="R42"/>
      <c r="S42"/>
    </row>
    <row r="43" spans="3:19" ht="23.1" customHeight="1" x14ac:dyDescent="0.25">
      <c r="C43" s="2"/>
      <c r="D43" s="2"/>
      <c r="R43"/>
      <c r="S43"/>
    </row>
    <row r="44" spans="3:19" ht="23.1" customHeight="1" x14ac:dyDescent="0.25">
      <c r="C44" s="2"/>
      <c r="D44" s="2"/>
      <c r="R44"/>
      <c r="S44"/>
    </row>
    <row r="45" spans="3:19" ht="23.1" customHeight="1" x14ac:dyDescent="0.25">
      <c r="C45" s="2"/>
      <c r="D45" s="2"/>
      <c r="R45"/>
      <c r="S45"/>
    </row>
    <row r="46" spans="3:19" ht="23.1" customHeight="1" x14ac:dyDescent="0.25">
      <c r="C46" s="2"/>
      <c r="D46" s="2"/>
      <c r="R46"/>
      <c r="S46"/>
    </row>
    <row r="47" spans="3:19" ht="23.1" customHeight="1" x14ac:dyDescent="0.25">
      <c r="C47" s="2"/>
      <c r="D47" s="2"/>
      <c r="R47"/>
      <c r="S47"/>
    </row>
    <row r="48" spans="3:19" ht="23.1" customHeight="1" x14ac:dyDescent="0.25">
      <c r="C48" s="2"/>
      <c r="D48" s="2"/>
      <c r="R48"/>
      <c r="S48"/>
    </row>
    <row r="49" spans="3:19" ht="23.1" customHeight="1" x14ac:dyDescent="0.25">
      <c r="C49" s="2"/>
      <c r="D49" s="2"/>
      <c r="R49"/>
      <c r="S49"/>
    </row>
    <row r="50" spans="3:19" ht="23.1" customHeight="1" x14ac:dyDescent="0.25">
      <c r="C50" s="2"/>
      <c r="D50" s="2"/>
      <c r="R50"/>
      <c r="S50"/>
    </row>
    <row r="51" spans="3:19" ht="23.1" customHeight="1" x14ac:dyDescent="0.25">
      <c r="C51" s="2"/>
      <c r="D51" s="2"/>
      <c r="R51"/>
      <c r="S51"/>
    </row>
    <row r="52" spans="3:19" ht="23.1" customHeight="1" x14ac:dyDescent="0.25">
      <c r="C52" s="2"/>
      <c r="D52" s="2"/>
      <c r="R52"/>
      <c r="S52"/>
    </row>
    <row r="53" spans="3:19" ht="23.1" customHeight="1" x14ac:dyDescent="0.25">
      <c r="C53" s="2"/>
      <c r="D53" s="2"/>
      <c r="R53"/>
      <c r="S53"/>
    </row>
    <row r="54" spans="3:19" ht="23.1" customHeight="1" x14ac:dyDescent="0.25">
      <c r="C54" s="2"/>
      <c r="D54" s="2"/>
      <c r="R54"/>
      <c r="S54"/>
    </row>
    <row r="55" spans="3:19" ht="23.1" customHeight="1" x14ac:dyDescent="0.25">
      <c r="C55" s="2"/>
      <c r="D55" s="2"/>
      <c r="R55"/>
      <c r="S55"/>
    </row>
    <row r="56" spans="3:19" ht="23.1" customHeight="1" x14ac:dyDescent="0.25">
      <c r="C56" s="2"/>
      <c r="D56" s="2"/>
      <c r="R56"/>
      <c r="S56"/>
    </row>
    <row r="57" spans="3:19" ht="23.1" customHeight="1" x14ac:dyDescent="0.25">
      <c r="C57" s="2"/>
      <c r="D57" s="2"/>
      <c r="R57"/>
      <c r="S57"/>
    </row>
    <row r="58" spans="3:19" ht="23.1" customHeight="1" x14ac:dyDescent="0.25">
      <c r="C58" s="2"/>
      <c r="D58" s="2"/>
      <c r="R58"/>
      <c r="S58"/>
    </row>
    <row r="59" spans="3:19" ht="23.1" customHeight="1" x14ac:dyDescent="0.25">
      <c r="C59" s="2"/>
      <c r="D59" s="2"/>
      <c r="R59"/>
      <c r="S59"/>
    </row>
    <row r="60" spans="3:19" ht="23.1" customHeight="1" x14ac:dyDescent="0.25">
      <c r="C60" s="2"/>
      <c r="D60" s="2"/>
      <c r="R60"/>
      <c r="S60"/>
    </row>
    <row r="61" spans="3:19" ht="23.1" customHeight="1" x14ac:dyDescent="0.25">
      <c r="C61" s="2"/>
      <c r="D61" s="2"/>
      <c r="R61"/>
      <c r="S61"/>
    </row>
    <row r="62" spans="3:19" ht="23.1" customHeight="1" x14ac:dyDescent="0.25">
      <c r="C62" s="2"/>
      <c r="D62" s="2"/>
      <c r="R62"/>
      <c r="S62"/>
    </row>
    <row r="63" spans="3:19" ht="23.1" customHeight="1" x14ac:dyDescent="0.25">
      <c r="C63" s="2"/>
      <c r="D63" s="2"/>
      <c r="R63"/>
      <c r="S63"/>
    </row>
    <row r="64" spans="3:19" ht="23.1" customHeight="1" x14ac:dyDescent="0.25">
      <c r="C64" s="2"/>
      <c r="D64" s="2"/>
      <c r="R64"/>
      <c r="S64"/>
    </row>
    <row r="65" spans="3:19" ht="23.1" customHeight="1" x14ac:dyDescent="0.25">
      <c r="C65" s="2"/>
      <c r="D65" s="2"/>
      <c r="R65"/>
      <c r="S65"/>
    </row>
    <row r="66" spans="3:19" ht="23.1" customHeight="1" x14ac:dyDescent="0.25">
      <c r="C66" s="2"/>
      <c r="D66" s="2"/>
      <c r="R66"/>
      <c r="S66"/>
    </row>
    <row r="67" spans="3:19" ht="23.1" customHeight="1" x14ac:dyDescent="0.25">
      <c r="C67" s="2"/>
      <c r="D67" s="2"/>
      <c r="R67"/>
      <c r="S67"/>
    </row>
    <row r="68" spans="3:19" ht="23.1" customHeight="1" x14ac:dyDescent="0.25">
      <c r="C68" s="2"/>
      <c r="D68" s="2"/>
      <c r="R68"/>
      <c r="S68"/>
    </row>
    <row r="69" spans="3:19" ht="23.1" customHeight="1" x14ac:dyDescent="0.25">
      <c r="C69" s="2"/>
      <c r="D69" s="2"/>
      <c r="R69"/>
      <c r="S69"/>
    </row>
    <row r="70" spans="3:19" ht="23.1" customHeight="1" x14ac:dyDescent="0.25">
      <c r="C70" s="2"/>
      <c r="D70" s="2"/>
      <c r="R70"/>
      <c r="S70"/>
    </row>
    <row r="71" spans="3:19" ht="23.1" customHeight="1" x14ac:dyDescent="0.25">
      <c r="C71" s="2"/>
      <c r="D71" s="2"/>
      <c r="R71"/>
      <c r="S71"/>
    </row>
    <row r="72" spans="3:19" ht="23.1" customHeight="1" x14ac:dyDescent="0.25">
      <c r="C72" s="2"/>
      <c r="D72" s="2"/>
      <c r="R72"/>
      <c r="S72"/>
    </row>
    <row r="73" spans="3:19" ht="23.1" customHeight="1" x14ac:dyDescent="0.25">
      <c r="C73" s="2"/>
      <c r="D73" s="2"/>
      <c r="R73"/>
      <c r="S73"/>
    </row>
    <row r="74" spans="3:19" ht="23.1" customHeight="1" x14ac:dyDescent="0.25">
      <c r="C74" s="2"/>
      <c r="D74" s="2"/>
      <c r="R74"/>
      <c r="S74"/>
    </row>
    <row r="75" spans="3:19" ht="23.1" customHeight="1" x14ac:dyDescent="0.25">
      <c r="C75" s="2"/>
      <c r="D75" s="2"/>
      <c r="R75"/>
      <c r="S75"/>
    </row>
    <row r="76" spans="3:19" ht="23.1" customHeight="1" x14ac:dyDescent="0.25">
      <c r="C76" s="2"/>
      <c r="D76" s="2"/>
      <c r="R76"/>
      <c r="S76"/>
    </row>
    <row r="77" spans="3:19" ht="23.1" customHeight="1" x14ac:dyDescent="0.25">
      <c r="C77" s="2"/>
      <c r="D77" s="2"/>
      <c r="R77"/>
      <c r="S77"/>
    </row>
    <row r="78" spans="3:19" ht="23.1" customHeight="1" x14ac:dyDescent="0.25">
      <c r="C78" s="2"/>
      <c r="D78" s="2"/>
      <c r="R78"/>
      <c r="S78"/>
    </row>
    <row r="79" spans="3:19" ht="23.1" customHeight="1" x14ac:dyDescent="0.25">
      <c r="C79" s="2"/>
      <c r="D79" s="2"/>
      <c r="R79"/>
      <c r="S79"/>
    </row>
    <row r="80" spans="3:19" ht="23.1" customHeight="1" x14ac:dyDescent="0.25">
      <c r="C80" s="2"/>
      <c r="D80" s="2"/>
      <c r="R80"/>
      <c r="S80"/>
    </row>
    <row r="81" spans="3:19" ht="23.1" customHeight="1" x14ac:dyDescent="0.25">
      <c r="C81" s="2"/>
      <c r="D81" s="2"/>
      <c r="R81"/>
      <c r="S81"/>
    </row>
    <row r="82" spans="3:19" ht="23.1" customHeight="1" x14ac:dyDescent="0.25">
      <c r="C82" s="2"/>
      <c r="D82" s="2"/>
      <c r="R82"/>
      <c r="S82"/>
    </row>
    <row r="83" spans="3:19" ht="23.1" customHeight="1" x14ac:dyDescent="0.25">
      <c r="C83" s="2"/>
      <c r="D83" s="2"/>
      <c r="R83"/>
      <c r="S83"/>
    </row>
    <row r="84" spans="3:19" ht="23.1" customHeight="1" x14ac:dyDescent="0.25">
      <c r="C84" s="2"/>
      <c r="D84" s="2"/>
      <c r="R84"/>
      <c r="S84"/>
    </row>
    <row r="85" spans="3:19" ht="23.1" customHeight="1" x14ac:dyDescent="0.25">
      <c r="C85" s="2"/>
      <c r="D85" s="2"/>
      <c r="R85"/>
      <c r="S85"/>
    </row>
    <row r="86" spans="3:19" ht="23.1" customHeight="1" x14ac:dyDescent="0.25">
      <c r="C86" s="13"/>
      <c r="Q86" s="2"/>
      <c r="S86"/>
    </row>
    <row r="87" spans="3:19" ht="23.1" customHeight="1" x14ac:dyDescent="0.25">
      <c r="C87" s="13"/>
      <c r="Q87" s="2"/>
      <c r="S87"/>
    </row>
    <row r="88" spans="3:19" ht="23.1" customHeight="1" x14ac:dyDescent="0.25">
      <c r="C88" s="13"/>
    </row>
    <row r="89" spans="3:19" ht="23.1" customHeight="1" x14ac:dyDescent="0.25">
      <c r="C89" s="13"/>
    </row>
    <row r="90" spans="3:19" ht="23.1" customHeight="1" x14ac:dyDescent="0.25"/>
    <row r="91" spans="3:19" ht="23.1" customHeight="1" x14ac:dyDescent="0.25"/>
    <row r="92" spans="3:19" ht="23.1" customHeight="1" x14ac:dyDescent="0.25"/>
    <row r="93" spans="3:19" ht="23.1" customHeight="1" x14ac:dyDescent="0.25"/>
    <row r="94" spans="3:19" ht="23.1" customHeight="1" x14ac:dyDescent="0.25"/>
    <row r="95" spans="3:19" ht="23.1" customHeight="1" x14ac:dyDescent="0.25"/>
    <row r="96" spans="3:19" ht="23.1" customHeight="1" x14ac:dyDescent="0.25"/>
    <row r="97" ht="23.1" customHeight="1" x14ac:dyDescent="0.25"/>
    <row r="98" ht="23.1" customHeight="1" x14ac:dyDescent="0.25"/>
    <row r="99" ht="23.1" customHeight="1" x14ac:dyDescent="0.25"/>
    <row r="100" ht="23.1" customHeight="1" x14ac:dyDescent="0.25"/>
    <row r="101" ht="23.1" customHeight="1" x14ac:dyDescent="0.25"/>
    <row r="102" ht="23.1" customHeight="1" x14ac:dyDescent="0.25"/>
    <row r="103" ht="23.1" customHeight="1" x14ac:dyDescent="0.25"/>
    <row r="104" ht="23.1" customHeight="1" x14ac:dyDescent="0.25"/>
    <row r="105" ht="23.1" customHeight="1" x14ac:dyDescent="0.25"/>
    <row r="106" ht="23.1" customHeight="1" x14ac:dyDescent="0.25"/>
    <row r="107" ht="23.1" customHeight="1" x14ac:dyDescent="0.25"/>
    <row r="108" ht="23.1" customHeight="1" x14ac:dyDescent="0.25"/>
    <row r="109" ht="23.1" customHeight="1" x14ac:dyDescent="0.25"/>
    <row r="110" ht="23.1" customHeight="1" x14ac:dyDescent="0.25"/>
    <row r="111" ht="23.1" customHeight="1" x14ac:dyDescent="0.25"/>
    <row r="112" ht="23.1" customHeight="1" x14ac:dyDescent="0.25"/>
    <row r="113" ht="23.1" customHeight="1" x14ac:dyDescent="0.25"/>
    <row r="114" ht="23.1" customHeight="1" x14ac:dyDescent="0.25"/>
    <row r="115" ht="23.1" customHeight="1" x14ac:dyDescent="0.25"/>
    <row r="116" ht="23.1" customHeight="1" x14ac:dyDescent="0.25"/>
    <row r="117" ht="23.1" customHeight="1" x14ac:dyDescent="0.25"/>
    <row r="118" ht="23.1" customHeight="1" x14ac:dyDescent="0.25"/>
    <row r="119" ht="23.1" customHeight="1" x14ac:dyDescent="0.25"/>
    <row r="120" ht="23.1" customHeight="1" x14ac:dyDescent="0.25"/>
    <row r="121" ht="23.1" customHeight="1" x14ac:dyDescent="0.25"/>
    <row r="122" ht="23.1" customHeight="1" x14ac:dyDescent="0.25"/>
    <row r="123" ht="23.1" customHeight="1" x14ac:dyDescent="0.25"/>
    <row r="124" ht="23.1" customHeight="1" x14ac:dyDescent="0.25"/>
    <row r="125" ht="23.1" customHeight="1" x14ac:dyDescent="0.25"/>
    <row r="126" ht="23.1" customHeight="1" x14ac:dyDescent="0.25"/>
    <row r="127" ht="23.1" customHeight="1" x14ac:dyDescent="0.25"/>
    <row r="128" ht="23.1" customHeight="1" x14ac:dyDescent="0.25"/>
    <row r="129" ht="23.1" customHeight="1" x14ac:dyDescent="0.25"/>
    <row r="130" ht="23.1" customHeight="1" x14ac:dyDescent="0.25"/>
    <row r="131" ht="23.1" customHeight="1" x14ac:dyDescent="0.25"/>
    <row r="132" ht="23.1" customHeight="1" x14ac:dyDescent="0.25"/>
    <row r="133" ht="23.1" customHeight="1" x14ac:dyDescent="0.25"/>
    <row r="134" ht="23.1" customHeight="1" x14ac:dyDescent="0.25"/>
    <row r="135" ht="23.1" customHeight="1" x14ac:dyDescent="0.25"/>
    <row r="136" ht="23.1" customHeight="1" x14ac:dyDescent="0.25"/>
    <row r="137" ht="23.1" customHeight="1" x14ac:dyDescent="0.25"/>
    <row r="138" ht="23.1" customHeight="1" x14ac:dyDescent="0.25"/>
    <row r="139" ht="23.1" customHeight="1" x14ac:dyDescent="0.25"/>
    <row r="140" ht="23.1" customHeight="1" x14ac:dyDescent="0.25"/>
    <row r="141" ht="23.1" customHeight="1" x14ac:dyDescent="0.25"/>
    <row r="142" ht="23.1" customHeight="1" x14ac:dyDescent="0.25"/>
    <row r="143" ht="23.1" customHeight="1" x14ac:dyDescent="0.25"/>
    <row r="144" ht="23.1" customHeight="1" x14ac:dyDescent="0.25"/>
    <row r="145" ht="23.1" customHeight="1" x14ac:dyDescent="0.25"/>
    <row r="146" ht="23.1" customHeight="1" x14ac:dyDescent="0.25"/>
    <row r="147" ht="23.1" customHeight="1" x14ac:dyDescent="0.25"/>
    <row r="148" ht="23.1" customHeight="1" x14ac:dyDescent="0.25"/>
    <row r="149" ht="23.1" customHeight="1" x14ac:dyDescent="0.25"/>
    <row r="150" ht="23.1" customHeight="1" x14ac:dyDescent="0.25"/>
    <row r="151" ht="23.1" customHeight="1" x14ac:dyDescent="0.25"/>
  </sheetData>
  <mergeCells count="10">
    <mergeCell ref="C8:P8"/>
    <mergeCell ref="C3:F3"/>
    <mergeCell ref="B1:P1"/>
    <mergeCell ref="B2:P2"/>
    <mergeCell ref="D5:E5"/>
    <mergeCell ref="G5:H5"/>
    <mergeCell ref="K5:L5"/>
    <mergeCell ref="D6:E6"/>
    <mergeCell ref="G6:H6"/>
    <mergeCell ref="K6:L6"/>
  </mergeCells>
  <pageMargins left="0" right="0" top="0" bottom="0" header="0.15748031496062992" footer="0.11811023622047245"/>
  <pageSetup paperSize="9" scale="45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HeadingPairs>
  <TitlesOfParts>
    <vt:vector size="9" baseType="lpstr">
      <vt:lpstr>27-02-KYEBANDO RBT-KISAASI RBT</vt:lpstr>
      <vt:lpstr>27-02-KISAASI RBT-KYEBANDO RBT</vt:lpstr>
      <vt:lpstr>27-02-KISAASI RBT-KYEBANDO 2DIR</vt:lpstr>
      <vt:lpstr>'27-02-KISAASI RBT-KYEBANDO 2DIR'!Print_Area</vt:lpstr>
      <vt:lpstr>'27-02-KISAASI RBT-KYEBANDO RBT'!Print_Area</vt:lpstr>
      <vt:lpstr>'27-02-KYEBANDO RBT-KISAASI RBT'!Print_Area</vt:lpstr>
      <vt:lpstr>'27-02-KISAASI RBT-KYEBANDO 2DIR'!Print_Titles</vt:lpstr>
      <vt:lpstr>'27-02-KISAASI RBT-KYEBANDO RBT'!Print_Titles</vt:lpstr>
      <vt:lpstr>'27-02-KYEBANDO RBT-KISAASI RBT'!Print_Titles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MR.O</dc:creator>
  <cp:lastModifiedBy>USER</cp:lastModifiedBy>
  <cp:lastPrinted>2020-03-24T09:54:00Z</cp:lastPrinted>
  <dcterms:created xsi:type="dcterms:W3CDTF">2020-02-14T20:49:42Z</dcterms:created>
  <dcterms:modified xsi:type="dcterms:W3CDTF">2020-04-15T11:27:03Z</dcterms:modified>
</cp:coreProperties>
</file>