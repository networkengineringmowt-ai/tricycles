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ing Folder\EDMP\Analysed Data\New 170320\ATC\"/>
    </mc:Choice>
  </mc:AlternateContent>
  <xr:revisionPtr revIDLastSave="0" documentId="13_ncr:1_{9F522B10-54EA-49A7-A3F8-CDB37F0C6CBC}" xr6:coauthVersionLast="45" xr6:coauthVersionMax="45" xr10:uidLastSave="{00000000-0000-0000-0000-000000000000}"/>
  <bookViews>
    <workbookView xWindow="-120" yWindow="-120" windowWidth="20730" windowHeight="11160" activeTab="2" xr2:uid="{00000000-000D-0000-FFFF-FFFF00000000}"/>
  </bookViews>
  <sheets>
    <sheet name="29-04-KISAASI RBT-NALYA RBT" sheetId="1" r:id="rId1"/>
    <sheet name="29-04-NALYA RBT-KISAASI RBT" sheetId="2" r:id="rId2"/>
    <sheet name="29-04-NALYA-KISAASI RBT 2DIR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Print_Area" localSheetId="0">'29-04-KISAASI RBT-NALYA RBT'!$A$1:$W$58</definedName>
    <definedName name="_xlnm.Print_Area" localSheetId="1">'29-04-NALYA RBT-KISAASI RBT'!$A$1:$W$58</definedName>
    <definedName name="_xlnm.Print_Area" localSheetId="2">'29-04-NALYA-KISAASI RBT 2DIR'!$A$1:$W$58</definedName>
    <definedName name="_xlnm.Print_Titles" localSheetId="0">'29-04-KISAASI RBT-NALYA RBT'!$1:$8</definedName>
    <definedName name="_xlnm.Print_Titles" localSheetId="1">'29-04-NALYA RBT-KISAASI RBT'!$1:$8</definedName>
    <definedName name="_xlnm.Print_Titles" localSheetId="2">'29-04-NALYA-KISAASI RBT 2DIR'!$1:$8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5" i="2" l="1"/>
  <c r="C15" i="1"/>
  <c r="C14" i="2"/>
  <c r="C14" i="1"/>
  <c r="O15" i="2"/>
  <c r="O14" i="2"/>
  <c r="O15" i="1"/>
  <c r="O14" i="1"/>
  <c r="AC13" i="2"/>
  <c r="AB13" i="2"/>
  <c r="AB13" i="1"/>
  <c r="AC13" i="1"/>
  <c r="AB14" i="3"/>
  <c r="AC14" i="3"/>
  <c r="AC16" i="3" l="1"/>
  <c r="AB15" i="3"/>
  <c r="AB16" i="3"/>
  <c r="AC15" i="3" l="1"/>
  <c r="D11" i="1" l="1"/>
  <c r="E11" i="1"/>
  <c r="F11" i="1"/>
  <c r="G11" i="1"/>
  <c r="H11" i="1"/>
  <c r="I11" i="1"/>
  <c r="J11" i="1"/>
  <c r="K11" i="1"/>
  <c r="L11" i="1"/>
  <c r="M11" i="1"/>
  <c r="N11" i="1"/>
  <c r="D12" i="1"/>
  <c r="E12" i="1"/>
  <c r="F12" i="1"/>
  <c r="G12" i="1"/>
  <c r="H12" i="1"/>
  <c r="I12" i="1"/>
  <c r="J12" i="1"/>
  <c r="K12" i="1"/>
  <c r="L12" i="1"/>
  <c r="M12" i="1"/>
  <c r="N12" i="1"/>
  <c r="D13" i="1"/>
  <c r="E13" i="1"/>
  <c r="F13" i="1"/>
  <c r="G13" i="1"/>
  <c r="H13" i="1"/>
  <c r="I13" i="1"/>
  <c r="J13" i="1"/>
  <c r="K13" i="1"/>
  <c r="L13" i="1"/>
  <c r="M13" i="1"/>
  <c r="N13" i="1"/>
  <c r="D14" i="1"/>
  <c r="E14" i="1"/>
  <c r="F14" i="1"/>
  <c r="G14" i="1"/>
  <c r="H14" i="1"/>
  <c r="I14" i="1"/>
  <c r="J14" i="1"/>
  <c r="K14" i="1"/>
  <c r="L14" i="1"/>
  <c r="M14" i="1"/>
  <c r="N14" i="1"/>
  <c r="D15" i="1"/>
  <c r="E15" i="1"/>
  <c r="F15" i="1"/>
  <c r="G15" i="1"/>
  <c r="H15" i="1"/>
  <c r="I15" i="1"/>
  <c r="J15" i="1"/>
  <c r="K15" i="1"/>
  <c r="L15" i="1"/>
  <c r="M15" i="1"/>
  <c r="N15" i="1"/>
  <c r="D16" i="1"/>
  <c r="E16" i="1"/>
  <c r="F16" i="1"/>
  <c r="G16" i="1"/>
  <c r="H16" i="1"/>
  <c r="I16" i="1"/>
  <c r="J16" i="1"/>
  <c r="K16" i="1"/>
  <c r="L16" i="1"/>
  <c r="M16" i="1"/>
  <c r="N16" i="1"/>
  <c r="E10" i="1"/>
  <c r="F10" i="1"/>
  <c r="G10" i="1"/>
  <c r="H10" i="1"/>
  <c r="I10" i="1"/>
  <c r="J10" i="1"/>
  <c r="K10" i="1"/>
  <c r="L10" i="1"/>
  <c r="M10" i="1"/>
  <c r="N10" i="1"/>
  <c r="D11" i="2"/>
  <c r="E11" i="2"/>
  <c r="F11" i="2"/>
  <c r="G11" i="2"/>
  <c r="H11" i="2"/>
  <c r="I11" i="2"/>
  <c r="J11" i="2"/>
  <c r="K11" i="2"/>
  <c r="L11" i="2"/>
  <c r="M11" i="2"/>
  <c r="N11" i="2"/>
  <c r="D12" i="2"/>
  <c r="E12" i="2"/>
  <c r="F12" i="2"/>
  <c r="G12" i="2"/>
  <c r="H12" i="2"/>
  <c r="I12" i="2"/>
  <c r="J12" i="2"/>
  <c r="K12" i="2"/>
  <c r="L12" i="2"/>
  <c r="M12" i="2"/>
  <c r="N12" i="2"/>
  <c r="D13" i="2"/>
  <c r="E13" i="2"/>
  <c r="F13" i="2"/>
  <c r="G13" i="2"/>
  <c r="H13" i="2"/>
  <c r="I13" i="2"/>
  <c r="J13" i="2"/>
  <c r="K13" i="2"/>
  <c r="L13" i="2"/>
  <c r="M13" i="2"/>
  <c r="N13" i="2"/>
  <c r="D14" i="2"/>
  <c r="E14" i="2"/>
  <c r="F14" i="2"/>
  <c r="G14" i="2"/>
  <c r="H14" i="2"/>
  <c r="I14" i="2"/>
  <c r="J14" i="2"/>
  <c r="K14" i="2"/>
  <c r="L14" i="2"/>
  <c r="M14" i="2"/>
  <c r="N14" i="2"/>
  <c r="D15" i="2"/>
  <c r="E15" i="2"/>
  <c r="F15" i="2"/>
  <c r="G15" i="2"/>
  <c r="H15" i="2"/>
  <c r="I15" i="2"/>
  <c r="J15" i="2"/>
  <c r="K15" i="2"/>
  <c r="L15" i="2"/>
  <c r="M15" i="2"/>
  <c r="N15" i="2"/>
  <c r="D16" i="2"/>
  <c r="E16" i="2"/>
  <c r="F16" i="2"/>
  <c r="G16" i="2"/>
  <c r="H16" i="2"/>
  <c r="I16" i="2"/>
  <c r="J16" i="2"/>
  <c r="K16" i="2"/>
  <c r="L16" i="2"/>
  <c r="M16" i="2"/>
  <c r="N16" i="2"/>
  <c r="E10" i="2"/>
  <c r="F10" i="2"/>
  <c r="G10" i="2"/>
  <c r="H10" i="2"/>
  <c r="I10" i="2"/>
  <c r="J10" i="2"/>
  <c r="K10" i="2"/>
  <c r="L10" i="2"/>
  <c r="M10" i="2"/>
  <c r="N10" i="2"/>
  <c r="D10" i="2"/>
  <c r="D10" i="1"/>
  <c r="C11" i="3" l="1"/>
  <c r="D11" i="3"/>
  <c r="E11" i="3"/>
  <c r="F11" i="3"/>
  <c r="G11" i="3"/>
  <c r="H11" i="3"/>
  <c r="I11" i="3"/>
  <c r="J11" i="3"/>
  <c r="K11" i="3"/>
  <c r="L11" i="3"/>
  <c r="M11" i="3"/>
  <c r="N11" i="3"/>
  <c r="C12" i="3"/>
  <c r="D12" i="3"/>
  <c r="E12" i="3"/>
  <c r="F12" i="3"/>
  <c r="G12" i="3"/>
  <c r="H12" i="3"/>
  <c r="I12" i="3"/>
  <c r="J12" i="3"/>
  <c r="K12" i="3"/>
  <c r="L12" i="3"/>
  <c r="M12" i="3"/>
  <c r="N12" i="3"/>
  <c r="C13" i="3"/>
  <c r="D13" i="3"/>
  <c r="E13" i="3"/>
  <c r="F13" i="3"/>
  <c r="G13" i="3"/>
  <c r="H13" i="3"/>
  <c r="I13" i="3"/>
  <c r="J13" i="3"/>
  <c r="K13" i="3"/>
  <c r="L13" i="3"/>
  <c r="M13" i="3"/>
  <c r="N13" i="3"/>
  <c r="C14" i="3"/>
  <c r="D14" i="3"/>
  <c r="E14" i="3"/>
  <c r="F14" i="3"/>
  <c r="G14" i="3"/>
  <c r="H14" i="3"/>
  <c r="I14" i="3"/>
  <c r="J14" i="3"/>
  <c r="K14" i="3"/>
  <c r="L14" i="3"/>
  <c r="M14" i="3"/>
  <c r="N14" i="3"/>
  <c r="C15" i="3"/>
  <c r="D15" i="3"/>
  <c r="E15" i="3"/>
  <c r="F15" i="3"/>
  <c r="G15" i="3"/>
  <c r="H15" i="3"/>
  <c r="I15" i="3"/>
  <c r="J15" i="3"/>
  <c r="K15" i="3"/>
  <c r="L15" i="3"/>
  <c r="M15" i="3"/>
  <c r="N15" i="3"/>
  <c r="C16" i="3"/>
  <c r="D16" i="3"/>
  <c r="E16" i="3"/>
  <c r="F16" i="3"/>
  <c r="G16" i="3"/>
  <c r="H16" i="3"/>
  <c r="I16" i="3"/>
  <c r="J16" i="3"/>
  <c r="K16" i="3"/>
  <c r="L16" i="3"/>
  <c r="M16" i="3"/>
  <c r="N16" i="3"/>
  <c r="D10" i="3"/>
  <c r="E10" i="3"/>
  <c r="F10" i="3"/>
  <c r="G10" i="3"/>
  <c r="H10" i="3"/>
  <c r="I10" i="3"/>
  <c r="J10" i="3"/>
  <c r="K10" i="3"/>
  <c r="L10" i="3"/>
  <c r="M10" i="3"/>
  <c r="N10" i="3"/>
  <c r="C10" i="3"/>
  <c r="O13" i="3" l="1"/>
  <c r="O15" i="3"/>
  <c r="O11" i="3"/>
  <c r="O16" i="3"/>
  <c r="O14" i="3"/>
  <c r="O12" i="3"/>
  <c r="O10" i="3"/>
  <c r="AB13" i="3" s="1"/>
  <c r="P11" i="3"/>
  <c r="H17" i="3"/>
  <c r="L17" i="3"/>
  <c r="P12" i="3"/>
  <c r="P13" i="3"/>
  <c r="P14" i="3"/>
  <c r="P15" i="3"/>
  <c r="P16" i="3"/>
  <c r="G17" i="3"/>
  <c r="I17" i="3"/>
  <c r="K17" i="3"/>
  <c r="M17" i="3"/>
  <c r="P10" i="3"/>
  <c r="C17" i="3"/>
  <c r="F17" i="3"/>
  <c r="J17" i="3"/>
  <c r="N17" i="3"/>
  <c r="AC13" i="3" l="1"/>
  <c r="P17" i="3"/>
  <c r="H18" i="3" s="1"/>
  <c r="P18" i="3"/>
  <c r="D17" i="3"/>
  <c r="O17" i="3"/>
  <c r="M19" i="3" s="1"/>
  <c r="O18" i="3"/>
  <c r="E17" i="3"/>
  <c r="I18" i="3" l="1"/>
  <c r="M18" i="3"/>
  <c r="D18" i="3"/>
  <c r="E19" i="3"/>
  <c r="N19" i="3"/>
  <c r="L19" i="3"/>
  <c r="D19" i="3"/>
  <c r="H19" i="3"/>
  <c r="G19" i="3"/>
  <c r="F19" i="3"/>
  <c r="J19" i="3"/>
  <c r="E18" i="3"/>
  <c r="F18" i="3"/>
  <c r="N18" i="3"/>
  <c r="G18" i="3"/>
  <c r="K18" i="3"/>
  <c r="C18" i="3"/>
  <c r="L18" i="3"/>
  <c r="K19" i="3"/>
  <c r="J18" i="3"/>
  <c r="I19" i="3"/>
  <c r="N17" i="2"/>
  <c r="M17" i="2"/>
  <c r="L17" i="2"/>
  <c r="K17" i="2"/>
  <c r="J17" i="2"/>
  <c r="I17" i="2"/>
  <c r="H17" i="2"/>
  <c r="G17" i="2"/>
  <c r="F17" i="2"/>
  <c r="E17" i="2"/>
  <c r="D17" i="2"/>
  <c r="P16" i="2"/>
  <c r="P15" i="2"/>
  <c r="P14" i="2"/>
  <c r="P13" i="2"/>
  <c r="P12" i="2"/>
  <c r="P11" i="1"/>
  <c r="P12" i="1"/>
  <c r="P13" i="1"/>
  <c r="P14" i="1"/>
  <c r="P15" i="1"/>
  <c r="P16" i="1"/>
  <c r="P10" i="1"/>
  <c r="D17" i="1"/>
  <c r="E17" i="1"/>
  <c r="F17" i="1"/>
  <c r="G17" i="1"/>
  <c r="H17" i="1"/>
  <c r="I17" i="1"/>
  <c r="J17" i="1"/>
  <c r="K17" i="1"/>
  <c r="L17" i="1"/>
  <c r="M17" i="1"/>
  <c r="N17" i="1"/>
  <c r="C17" i="1"/>
  <c r="P17" i="1" l="1"/>
  <c r="C18" i="1" s="1"/>
  <c r="O17" i="1"/>
  <c r="E19" i="1" s="1"/>
  <c r="O17" i="2"/>
  <c r="G19" i="2" s="1"/>
  <c r="O18" i="2"/>
  <c r="L19" i="1" l="1"/>
  <c r="H19" i="1"/>
  <c r="I19" i="1"/>
  <c r="K19" i="1"/>
  <c r="G19" i="1"/>
  <c r="M19" i="1"/>
  <c r="F19" i="1"/>
  <c r="D19" i="1"/>
  <c r="N19" i="1"/>
  <c r="K19" i="2"/>
  <c r="L19" i="2"/>
  <c r="H19" i="2"/>
  <c r="E19" i="2"/>
  <c r="F19" i="2"/>
  <c r="M19" i="2"/>
  <c r="N19" i="2"/>
  <c r="D19" i="2"/>
  <c r="I19" i="2"/>
  <c r="J19" i="2"/>
  <c r="J19" i="1"/>
  <c r="F18" i="1" l="1"/>
  <c r="E18" i="1" l="1"/>
  <c r="K18" i="1"/>
  <c r="M18" i="1"/>
  <c r="I18" i="1"/>
  <c r="D18" i="1"/>
  <c r="L18" i="1"/>
  <c r="H18" i="1"/>
  <c r="G18" i="1"/>
  <c r="N18" i="1"/>
  <c r="J18" i="1"/>
  <c r="P18" i="1"/>
  <c r="O18" i="1" l="1"/>
  <c r="P10" i="2"/>
  <c r="P11" i="2"/>
  <c r="C17" i="2"/>
  <c r="P18" i="2" l="1"/>
  <c r="P17" i="2"/>
  <c r="M18" i="2" s="1"/>
  <c r="C18" i="2" l="1"/>
  <c r="F18" i="2"/>
  <c r="G18" i="2"/>
  <c r="J18" i="2"/>
  <c r="I18" i="2"/>
  <c r="H18" i="2"/>
  <c r="L18" i="2"/>
  <c r="K18" i="2"/>
  <c r="N18" i="2"/>
  <c r="E18" i="2"/>
  <c r="D18" i="2"/>
</calcChain>
</file>

<file path=xl/sharedStrings.xml><?xml version="1.0" encoding="utf-8"?>
<sst xmlns="http://schemas.openxmlformats.org/spreadsheetml/2006/main" count="123" uniqueCount="44">
  <si>
    <t>Consultancy services for Preparation of Expressway Development Master Plan (EDMP) for Uganda</t>
  </si>
  <si>
    <t>ROAD NAME:</t>
  </si>
  <si>
    <t>Date</t>
  </si>
  <si>
    <t xml:space="preserve">  Location</t>
  </si>
  <si>
    <t>Surveyor</t>
  </si>
  <si>
    <t>Dir. From</t>
  </si>
  <si>
    <t xml:space="preserve">  Dir. To</t>
  </si>
  <si>
    <t>Supervisor</t>
  </si>
  <si>
    <t>Time / Veh Type</t>
  </si>
  <si>
    <t>SUMMARY TRAFFIC VOLUMES</t>
  </si>
  <si>
    <t>Total Excl M/ Cycles</t>
  </si>
  <si>
    <t>%ges + MCs</t>
  </si>
  <si>
    <t>%ges w/o MCs</t>
  </si>
  <si>
    <t>IVAN</t>
  </si>
  <si>
    <t>ATC</t>
  </si>
  <si>
    <t>1.Motorcycles</t>
  </si>
  <si>
    <t>Mon</t>
  </si>
  <si>
    <t>THU</t>
  </si>
  <si>
    <t>FRI</t>
  </si>
  <si>
    <t>SAT</t>
  </si>
  <si>
    <t>TUE</t>
  </si>
  <si>
    <t>WED</t>
  </si>
  <si>
    <t>SUN</t>
  </si>
  <si>
    <t>Average daily volume</t>
  </si>
  <si>
    <t xml:space="preserve"> Total All</t>
  </si>
  <si>
    <t>AUTOMATIC TRAFFIC COUNT (ATC)</t>
  </si>
  <si>
    <t>WEEKLY TRAFFIC VOLUMES</t>
  </si>
  <si>
    <t>KISAASI RBT</t>
  </si>
  <si>
    <t>29.01.2020 TO 04.02.2020</t>
  </si>
  <si>
    <t>NALYA RBT</t>
  </si>
  <si>
    <t xml:space="preserve">ATC - STN35-NORTHERN BYPASS RD </t>
  </si>
  <si>
    <t>ATC - STN35 BOTH DIRECTIONS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</si>
  <si>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</si>
  <si>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</si>
  <si>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</si>
  <si>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</si>
  <si>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</si>
  <si>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</si>
  <si>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</si>
  <si>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</si>
  <si>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</si>
  <si>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</si>
  <si>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12. Tractors</t>
  </si>
  <si>
    <t>4. Minibus matatu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</si>
</sst>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/>
    <xf numFmtId="0" fontId="0" fillId="0" borderId="4" xfId="0" applyBorder="1"/>
    <xf numFmtId="0" fontId="10" fillId="2" borderId="1" xfId="0" applyFont="1" applyFill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/>
    </xf>
    <xf numFmtId="1" fontId="0" fillId="2" borderId="4" xfId="0" applyNumberFormat="1" applyFill="1" applyBorder="1" applyAlignment="1">
      <alignment horizontal="center"/>
    </xf>
    <xf numFmtId="9" fontId="0" fillId="0" borderId="0" xfId="1" applyFont="1"/>
    <xf numFmtId="1" fontId="2" fillId="0" borderId="6" xfId="0" applyNumberFormat="1" applyFont="1" applyBorder="1" applyAlignment="1">
      <alignment horizontal="center"/>
    </xf>
    <xf numFmtId="1" fontId="2" fillId="2" borderId="4" xfId="0" applyNumberFormat="1" applyFont="1" applyFill="1" applyBorder="1" applyAlignment="1">
      <alignment horizontal="center"/>
    </xf>
    <xf numFmtId="164" fontId="0" fillId="0" borderId="0" xfId="0" applyNumberFormat="1"/>
    <xf numFmtId="0" fontId="9" fillId="0" borderId="4" xfId="0" applyFont="1" applyBorder="1" applyAlignment="1">
      <alignment horizontal="center" vertical="center" wrapText="1"/>
    </xf>
    <xf numFmtId="0" fontId="5" fillId="0" borderId="0" xfId="0" applyFont="1" applyBorder="1" applyAlignment="1"/>
    <xf numFmtId="0" fontId="9" fillId="0" borderId="4" xfId="0" applyFont="1" applyBorder="1" applyAlignment="1">
      <alignment horizontal="left" vertical="center" wrapText="1"/>
    </xf>
    <xf numFmtId="9" fontId="2" fillId="0" borderId="4" xfId="1" applyFont="1" applyBorder="1" applyAlignment="1">
      <alignment horizont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3" fillId="0" borderId="0" xfId="0" applyFont="1" applyAlignment="1"/>
    <xf numFmtId="0" fontId="4" fillId="0" borderId="0" xfId="0" applyFont="1" applyAlignment="1"/>
    <xf numFmtId="1" fontId="0" fillId="0" borderId="4" xfId="0" applyNumberFormat="1" applyBorder="1" applyAlignment="1"/>
    <xf numFmtId="1" fontId="0" fillId="0" borderId="4" xfId="0" applyNumberFormat="1" applyBorder="1" applyAlignment="1">
      <alignment horizontal="right"/>
    </xf>
    <xf numFmtId="164" fontId="13" fillId="0" borderId="0" xfId="1" applyNumberFormat="1" applyFont="1" applyAlignment="1">
      <alignment horizontal="center"/>
    </xf>
    <xf numFmtId="164" fontId="13" fillId="0" borderId="0" xfId="1" applyNumberFormat="1" applyFont="1"/>
    <xf numFmtId="0" fontId="2" fillId="0" borderId="4" xfId="0" applyFont="1" applyBorder="1" applyAlignment="1">
      <alignment horizontal="center" vertical="center" wrapText="1"/>
    </xf>
    <xf numFmtId="1" fontId="0" fillId="0" borderId="0" xfId="0" applyNumberFormat="1"/>
    <xf numFmtId="165" fontId="0" fillId="0" borderId="0" xfId="0" applyNumberFormat="1"/>
    <xf numFmtId="0" fontId="0" fillId="0" borderId="4" xfId="0" applyBorder="1" applyAlignment="1">
      <alignment horizontal="center"/>
    </xf>
    <xf numFmtId="1" fontId="0" fillId="0" borderId="4" xfId="0" applyNumberFormat="1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4" xfId="0" applyBorder="1" applyAlignment="1">
      <alignment horizontal="left"/>
    </xf>
    <xf numFmtId="0" fontId="5" fillId="0" borderId="4" xfId="0" applyFont="1" applyBorder="1" applyAlignment="1">
      <alignment horizontal="center"/>
    </xf>
    <xf numFmtId="0" fontId="6" fillId="0" borderId="2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Weekly Traffic Variation </a:t>
            </a:r>
          </a:p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'29-04-KISAASI RBT-NALYA RBT'!$O$9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'29-04-KISAASI RBT-NALYA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'29-04-KISAASI RBT-NALYA RBT'!$O$10:$O$16</c:f>
              <c:numCache>
                <c:formatCode>0</c:formatCode>
                <c:ptCount val="7"/>
                <c:pt idx="0">
                  <c:v>14540</c:v>
                </c:pt>
                <c:pt idx="1">
                  <c:v>11450</c:v>
                </c:pt>
                <c:pt idx="2">
                  <c:v>12768</c:v>
                </c:pt>
                <c:pt idx="3">
                  <c:v>13647</c:v>
                </c:pt>
                <c:pt idx="4">
                  <c:v>14343.134514082005</c:v>
                </c:pt>
                <c:pt idx="5">
                  <c:v>14491.465906695139</c:v>
                </c:pt>
                <c:pt idx="6">
                  <c:v>13697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32-4FEA-9337-4E2FD7646512}"/>
            </c:ext>
          </c:extLst>
        </c:ser>
        <c:ser>
          <c:idx val="1"/>
          <c:order val="1"/>
          <c:tx>
            <c:strRef>
              <c:f>'29-04-KISAASI RBT-NALYA RBT'!$P$9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'29-04-KISAASI RBT-NALYA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'29-04-KISAASI RBT-NALYA RBT'!$P$10:$P$16</c:f>
              <c:numCache>
                <c:formatCode>0</c:formatCode>
                <c:ptCount val="7"/>
                <c:pt idx="0">
                  <c:v>17633</c:v>
                </c:pt>
                <c:pt idx="1">
                  <c:v>13997.999999999996</c:v>
                </c:pt>
                <c:pt idx="2">
                  <c:v>15819.999999999995</c:v>
                </c:pt>
                <c:pt idx="3">
                  <c:v>16705.999999999996</c:v>
                </c:pt>
                <c:pt idx="4">
                  <c:v>17559.631352351091</c:v>
                </c:pt>
                <c:pt idx="5">
                  <c:v>17775.376937261728</c:v>
                </c:pt>
                <c:pt idx="6">
                  <c:v>17638.999999999993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32-4FEA-9337-4E2FD7646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'29-04-KISAASI RBT-NALYA RBT'!$C$18:$N$18</c:f>
              <c:strCache>
                <c:ptCount val="12"/>
                <c:pt idx="0">
                  <c:v>19%</c:v>
                </c:pt>
                <c:pt idx="1">
                  <c:v>38%</c:v>
                </c:pt>
                <c:pt idx="2">
                  <c:v>6%</c:v>
                </c:pt>
                <c:pt idx="3">
                  <c:v>5%</c:v>
                </c:pt>
                <c:pt idx="4">
                  <c:v>15%</c:v>
                </c:pt>
                <c:pt idx="5">
                  <c:v>1%</c:v>
                </c:pt>
                <c:pt idx="6">
                  <c:v>0%</c:v>
                </c:pt>
                <c:pt idx="7">
                  <c:v>6%</c:v>
                </c:pt>
                <c:pt idx="8">
                  <c:v>5%</c:v>
                </c:pt>
                <c:pt idx="9">
                  <c:v>2%</c:v>
                </c:pt>
                <c:pt idx="10">
                  <c:v>3%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458-40FA-AC31-D48FDE464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458-40FA-AC31-D48FDE464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458-40FA-AC31-D48FDE464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458-40FA-AC31-D48FDE464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458-40FA-AC31-D48FDE464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458-40FA-AC31-D48FDE464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458-40FA-AC31-D48FDE464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458-40FA-AC31-D48FDE464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458-40FA-AC31-D48FDE464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458-40FA-AC31-D48FDE464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458-40FA-AC31-D48FDE464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458-40FA-AC31-D48FDE46438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458-40FA-AC31-D48FDE46438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'29-04-KISAASI RBT-NALYA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458-40FA-AC31-D48FDE464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'29-04-KISAASI RBT-NALYA RBT'!$D$19:$N$19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5EE-4E36-A14A-A997E962A1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5EE-4E36-A14A-A997E962A1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5EE-4E36-A14A-A997E962A1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5EE-4E36-A14A-A997E962A16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5EE-4E36-A14A-A997E962A16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5EE-4E36-A14A-A997E962A16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5EE-4E36-A14A-A997E962A16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5EE-4E36-A14A-A997E962A16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5EE-4E36-A14A-A997E962A16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5EE-4E36-A14A-A997E962A16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5EE-4E36-A14A-A997E962A16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5EE-4E36-A14A-A997E962A16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5EE-4E36-A14A-A997E962A16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'29-04-KISAASI RBT-NALYA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5EE-4E36-A14A-A997E962A1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Weekly Traffic Variation </a:t>
            </a:r>
          </a:p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530571164873657"/>
          <c:y val="0.14189235127478753"/>
          <c:w val="0.74266939327419168"/>
          <c:h val="0.68825054092034532"/>
        </c:manualLayout>
      </c:layout>
      <c:lineChart>
        <c:grouping val="standard"/>
        <c:varyColors val="0"/>
        <c:ser>
          <c:idx val="0"/>
          <c:order val="0"/>
          <c:tx>
            <c:strRef>
              <c:f>'29-04-NALYA RBT-KISAASI RBT'!$O$9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'29-04-NALYA RBT-KISAASI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'29-04-NALYA RBT-KISAASI RBT'!$O$10:$O$16</c:f>
              <c:numCache>
                <c:formatCode>0</c:formatCode>
                <c:ptCount val="7"/>
                <c:pt idx="0">
                  <c:v>13522</c:v>
                </c:pt>
                <c:pt idx="1">
                  <c:v>10668</c:v>
                </c:pt>
                <c:pt idx="2">
                  <c:v>12056</c:v>
                </c:pt>
                <c:pt idx="3">
                  <c:v>12783</c:v>
                </c:pt>
                <c:pt idx="4">
                  <c:v>13419.130657206881</c:v>
                </c:pt>
                <c:pt idx="5">
                  <c:v>13557.906343657207</c:v>
                </c:pt>
                <c:pt idx="6">
                  <c:v>13478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7A-47D0-B109-A9114B7F6EA2}"/>
            </c:ext>
          </c:extLst>
        </c:ser>
        <c:ser>
          <c:idx val="1"/>
          <c:order val="1"/>
          <c:tx>
            <c:strRef>
              <c:f>'29-04-NALYA RBT-KISAASI RBT'!$P$9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'29-04-NALYA RBT-KISAASI RBT'!$B$10:$B$16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'29-04-NALYA RBT-KISAASI RBT'!$P$10:$P$16</c:f>
              <c:numCache>
                <c:formatCode>0</c:formatCode>
                <c:ptCount val="7"/>
                <c:pt idx="0">
                  <c:v>15966.999999999998</c:v>
                </c:pt>
                <c:pt idx="1">
                  <c:v>12539.999999999995</c:v>
                </c:pt>
                <c:pt idx="2">
                  <c:v>14606.999999999996</c:v>
                </c:pt>
                <c:pt idx="3">
                  <c:v>14564.999999999996</c:v>
                </c:pt>
                <c:pt idx="4">
                  <c:v>15581.630657206875</c:v>
                </c:pt>
                <c:pt idx="5">
                  <c:v>15649.781343657203</c:v>
                </c:pt>
                <c:pt idx="6">
                  <c:v>16894.999999999996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47A-47D0-B109-A9114B7F6E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0209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'29-04-NALYA RBT-KISAASI RBT'!$C$18:$N$18</c:f>
              <c:strCache>
                <c:ptCount val="12"/>
                <c:pt idx="0">
                  <c:v>15%</c:v>
                </c:pt>
                <c:pt idx="1">
                  <c:v>39%</c:v>
                </c:pt>
                <c:pt idx="2">
                  <c:v>6%</c:v>
                </c:pt>
                <c:pt idx="3">
                  <c:v>6%</c:v>
                </c:pt>
                <c:pt idx="4">
                  <c:v>16%</c:v>
                </c:pt>
                <c:pt idx="5">
                  <c:v>1%</c:v>
                </c:pt>
                <c:pt idx="6">
                  <c:v>0%</c:v>
                </c:pt>
                <c:pt idx="7">
                  <c:v>6%</c:v>
                </c:pt>
                <c:pt idx="8">
                  <c:v>5%</c:v>
                </c:pt>
                <c:pt idx="9">
                  <c:v>2%</c:v>
                </c:pt>
                <c:pt idx="10">
                  <c:v>3%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C0-43BE-ADDE-6EEEF26FE9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1C0-43BE-ADDE-6EEEF26FE9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1C0-43BE-ADDE-6EEEF26FE9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1C0-43BE-ADDE-6EEEF26FE9B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1C0-43BE-ADDE-6EEEF26FE9B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1C0-43BE-ADDE-6EEEF26FE9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1C0-43BE-ADDE-6EEEF26FE9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1C0-43BE-ADDE-6EEEF26FE9B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1C0-43BE-ADDE-6EEEF26FE9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1C0-43BE-ADDE-6EEEF26FE9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1C0-43BE-ADDE-6EEEF26FE9B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1C0-43BE-ADDE-6EEEF26FE9B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1C0-43BE-ADDE-6EEEF26FE9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'29-04-NALYA RBT-KISAASI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1C0-43BE-ADDE-6EEEF26FE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'29-04-NALYA RBT-KISAASI RBT'!$D$19:$N$19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1B6-44FA-B163-D2897382F42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1B6-44FA-B163-D2897382F42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1B6-44FA-B163-D2897382F42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1B6-44FA-B163-D2897382F42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1B6-44FA-B163-D2897382F42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1B6-44FA-B163-D2897382F42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1B6-44FA-B163-D2897382F42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1B6-44FA-B163-D2897382F42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1B6-44FA-B163-D2897382F42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1B6-44FA-B163-D2897382F42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1B6-44FA-B163-D2897382F42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1B6-44FA-B163-D2897382F42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1B6-44FA-B163-D2897382F42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'29-04-NALYA RBT-KISAASI RBT'!$C$9:$N$9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Minibus,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1B6-44FA-B163-D2897382F4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600"/>
              <a:t>Average Weekly Traffic Variation - KNBP</a:t>
            </a:r>
            <a:r>
              <a:rPr lang="en-US" sz="1600" baseline="0"/>
              <a:t> Kisaasi Jn to Nalya Junction</a:t>
            </a:r>
            <a:r>
              <a:rPr lang="en-US" sz="1600"/>
              <a:t> </a:t>
            </a:r>
          </a:p>
          <a:p>
            <a:pPr>
              <a:defRPr sz="1600"/>
            </a:pPr>
            <a:r>
              <a:rPr lang="en-US" sz="1600"/>
              <a:t> </a:t>
            </a:r>
            <a:endParaRPr lang="x-none" sz="1600"/>
          </a:p>
        </c:rich>
      </c:tx>
      <c:layout>
        <c:manualLayout>
          <c:xMode val="edge"/>
          <c:yMode val="edge"/>
          <c:x val="0.17700865778199643"/>
          <c:y val="9.22076241886194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3938190465281586"/>
          <c:y val="0.14189235127478753"/>
          <c:w val="0.848652284991953"/>
          <c:h val="0.68825054092034532"/>
        </c:manualLayout>
      </c:layout>
      <c:lineChart>
        <c:grouping val="standard"/>
        <c:varyColors val="0"/>
        <c:ser>
          <c:idx val="0"/>
          <c:order val="0"/>
          <c:tx>
            <c:strRef>
              <c:f>'29-04-NALYA-KISAASI RBT 2DIR'!$O$9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squar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'29-04-NALYA-KISAASI RBT 2DIR'!$B$10:$B$16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'29-04-NALYA-KISAASI RBT 2DIR'!$O$10:$O$16</c:f>
              <c:numCache>
                <c:formatCode>0</c:formatCode>
                <c:ptCount val="7"/>
                <c:pt idx="0">
                  <c:v>28061.999999999996</c:v>
                </c:pt>
                <c:pt idx="1">
                  <c:v>22117.999999999993</c:v>
                </c:pt>
                <c:pt idx="2">
                  <c:v>24823.999999999989</c:v>
                </c:pt>
                <c:pt idx="3">
                  <c:v>26429.999999999993</c:v>
                </c:pt>
                <c:pt idx="4">
                  <c:v>27762.26517128888</c:v>
                </c:pt>
                <c:pt idx="5">
                  <c:v>28049.372250352339</c:v>
                </c:pt>
                <c:pt idx="6">
                  <c:v>27174.999999999993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E0A-404C-84E7-3B23D6BE3C82}"/>
            </c:ext>
          </c:extLst>
        </c:ser>
        <c:ser>
          <c:idx val="1"/>
          <c:order val="1"/>
          <c:tx>
            <c:strRef>
              <c:f>'29-04-NALYA-KISAASI RBT 2DIR'!$P$9</c:f>
              <c:strCache>
                <c:ptCount val="1"/>
                <c:pt idx="0">
                  <c:v> Total All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squar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'29-04-NALYA-KISAASI RBT 2DIR'!$B$10:$B$16</c:f>
              <c:strCache>
                <c:ptCount val="7"/>
                <c:pt idx="0">
                  <c:v>Mon</c:v>
                </c:pt>
                <c:pt idx="1">
                  <c:v>TUE</c:v>
                </c:pt>
                <c:pt idx="2">
                  <c:v>WED</c:v>
                </c:pt>
                <c:pt idx="3">
                  <c:v>THU</c:v>
                </c:pt>
                <c:pt idx="4">
                  <c:v>FRI</c:v>
                </c:pt>
                <c:pt idx="5">
                  <c:v>SAT</c:v>
                </c:pt>
                <c:pt idx="6">
                  <c:v>SUN</c:v>
                </c:pt>
              </c:strCache>
            </c:strRef>
          </c:cat>
          <c:val>
            <c:numRef>
              <c:f>'29-04-NALYA-KISAASI RBT 2DIR'!$P$10:$P$16</c:f>
              <c:numCache>
                <c:formatCode>0</c:formatCode>
                <c:ptCount val="7"/>
                <c:pt idx="0">
                  <c:v>33599.999999999985</c:v>
                </c:pt>
                <c:pt idx="1">
                  <c:v>26537.999999999993</c:v>
                </c:pt>
                <c:pt idx="2">
                  <c:v>30426.999999999989</c:v>
                </c:pt>
                <c:pt idx="3">
                  <c:v>31270.999999999993</c:v>
                </c:pt>
                <c:pt idx="4">
                  <c:v>33141.26200955797</c:v>
                </c:pt>
                <c:pt idx="5">
                  <c:v>33425.158280918928</c:v>
                </c:pt>
                <c:pt idx="6">
                  <c:v>34533.999999999993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E0A-404C-84E7-3B23D6BE3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2091792"/>
        <c:axId val="802094512"/>
      </c:lineChart>
      <c:catAx>
        <c:axId val="80209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802094512"/>
        <c:crosses val="autoZero"/>
        <c:auto val="1"/>
        <c:lblAlgn val="ctr"/>
        <c:lblOffset val="100"/>
        <c:noMultiLvlLbl val="0"/>
      </c:catAx>
      <c:valAx>
        <c:axId val="802094512"/>
        <c:scaling>
          <c:orientation val="minMax"/>
          <c:min val="500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/>
                  <a:t>Traffic Volume </a:t>
                </a:r>
              </a:p>
            </c:rich>
          </c:tx>
          <c:layout>
            <c:manualLayout>
              <c:xMode val="edge"/>
              <c:yMode val="edge"/>
              <c:x val="4.8780799679547793E-2"/>
              <c:y val="0.397184626709196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802091792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Including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66"/>
      <c:depthPercent val="100"/>
      <c:rAngAx val="0"/>
      <c:perspective val="1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7577465720024135E-2"/>
          <c:y val="8.013560502587487E-2"/>
          <c:w val="0.87655985254857882"/>
          <c:h val="0.80325343229815682"/>
        </c:manualLayout>
      </c:layout>
      <c:pie3DChart>
        <c:varyColors val="1"/>
        <c:ser>
          <c:idx val="0"/>
          <c:order val="0"/>
          <c:tx>
            <c:strRef>
              <c:f>'29-04-NALYA-KISAASI RBT 2DIR'!$C$18:$N$18</c:f>
              <c:strCache>
                <c:ptCount val="12"/>
                <c:pt idx="0">
                  <c:v>17%</c:v>
                </c:pt>
                <c:pt idx="1">
                  <c:v>38%</c:v>
                </c:pt>
                <c:pt idx="2">
                  <c:v>6%</c:v>
                </c:pt>
                <c:pt idx="3">
                  <c:v>5%</c:v>
                </c:pt>
                <c:pt idx="4">
                  <c:v>16%</c:v>
                </c:pt>
                <c:pt idx="5">
                  <c:v>1%</c:v>
                </c:pt>
                <c:pt idx="6">
                  <c:v>0%</c:v>
                </c:pt>
                <c:pt idx="7">
                  <c:v>6%</c:v>
                </c:pt>
                <c:pt idx="8">
                  <c:v>5%</c:v>
                </c:pt>
                <c:pt idx="9">
                  <c:v>2%</c:v>
                </c:pt>
                <c:pt idx="10">
                  <c:v>3%</c:v>
                </c:pt>
                <c:pt idx="11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720-49C6-A35A-109C223063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720-49C6-A35A-109C223063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720-49C6-A35A-109C2230636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720-49C6-A35A-109C2230636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720-49C6-A35A-109C2230636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720-49C6-A35A-109C2230636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720-49C6-A35A-109C2230636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720-49C6-A35A-109C2230636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720-49C6-A35A-109C2230636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720-49C6-A35A-109C2230636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720-49C6-A35A-109C2230636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720-49C6-A35A-109C2230636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720-49C6-A35A-109C223063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'29-04-NALYA-KISAASI RBT 2DIR'!$C$9:$N$9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Munyonyo-Kibuye-2Dir'!$C$107:$N$107</c:f>
              <c:numCache>
                <c:formatCode>General</c:formatCode>
                <c:ptCount val="12"/>
                <c:pt idx="0">
                  <c:v>0.12930183209716614</c:v>
                </c:pt>
                <c:pt idx="1">
                  <c:v>4.7988984766631639E-2</c:v>
                </c:pt>
                <c:pt idx="2">
                  <c:v>1.3401469889907276E-2</c:v>
                </c:pt>
                <c:pt idx="3">
                  <c:v>0.15237739492909838</c:v>
                </c:pt>
                <c:pt idx="4">
                  <c:v>1.6530797551375614E-3</c:v>
                </c:pt>
                <c:pt idx="5">
                  <c:v>3.3379495055662294E-4</c:v>
                </c:pt>
                <c:pt idx="6">
                  <c:v>1.1366910191276423E-2</c:v>
                </c:pt>
                <c:pt idx="7">
                  <c:v>2.1160215615643068E-3</c:v>
                </c:pt>
                <c:pt idx="8">
                  <c:v>1.8398459774728146E-3</c:v>
                </c:pt>
                <c:pt idx="9">
                  <c:v>1.4106810410428709E-4</c:v>
                </c:pt>
                <c:pt idx="10">
                  <c:v>0.63936435904415434</c:v>
                </c:pt>
                <c:pt idx="11">
                  <c:v>1.1523873293026267E-4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720-49C6-A35A-109C223063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Excluding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5621349354452078E-2"/>
          <c:y val="0.20025731425750379"/>
          <c:w val="0.83261086583830202"/>
          <c:h val="0.76871916342946045"/>
        </c:manualLayout>
      </c:layout>
      <c:pie3DChart>
        <c:varyColors val="1"/>
        <c:ser>
          <c:idx val="0"/>
          <c:order val="0"/>
          <c:tx>
            <c:strRef>
              <c:f>'29-04-NALYA-KISAASI RBT 2DIR'!$D$19:$N$19</c:f>
              <c:strCache>
                <c:ptCount val="11"/>
                <c:pt idx="0">
                  <c:v>46%</c:v>
                </c:pt>
                <c:pt idx="1">
                  <c:v>7%</c:v>
                </c:pt>
                <c:pt idx="2">
                  <c:v>7%</c:v>
                </c:pt>
                <c:pt idx="3">
                  <c:v>19%</c:v>
                </c:pt>
                <c:pt idx="4">
                  <c:v>1%</c:v>
                </c:pt>
                <c:pt idx="5">
                  <c:v>0%</c:v>
                </c:pt>
                <c:pt idx="6">
                  <c:v>7%</c:v>
                </c:pt>
                <c:pt idx="7">
                  <c:v>6%</c:v>
                </c:pt>
                <c:pt idx="8">
                  <c:v>3%</c:v>
                </c:pt>
                <c:pt idx="9">
                  <c:v>3%</c:v>
                </c:pt>
                <c:pt idx="10">
                  <c:v>0%</c:v>
                </c:pt>
              </c:strCache>
            </c:strRef>
          </c:tx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EBC-4B36-8250-73EF7D5BB11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EBC-4B36-8250-73EF7D5BB11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EBC-4B36-8250-73EF7D5BB11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EBC-4B36-8250-73EF7D5BB11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EBC-4B36-8250-73EF7D5BB11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EBC-4B36-8250-73EF7D5BB11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EBC-4B36-8250-73EF7D5BB11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EBC-4B36-8250-73EF7D5BB11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EBC-4B36-8250-73EF7D5BB11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EBC-4B36-8250-73EF7D5BB11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EBC-4B36-8250-73EF7D5BB11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EBC-4B36-8250-73EF7D5BB11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EBC-4B36-8250-73EF7D5BB1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'29-04-NALYA-KISAASI RBT 2DIR'!$C$9:$N$9</c:f>
              <c:strCache>
                <c:ptCount val="12"/>
                <c:pt idx="0">
                  <c:v>1.Motorcycles</c:v>
                </c:pt>
                <c:pt idx="1">
                  <c:v>1. Car</c:v>
                </c:pt>
                <c:pt idx="2">
                  <c:v>2. Station Wagon</c:v>
                </c:pt>
                <c:pt idx="3">
                  <c:v>3. Pickups</c:v>
                </c:pt>
                <c:pt idx="4">
                  <c:v>4. Minibus matatu</c:v>
                </c:pt>
                <c:pt idx="5">
                  <c:v>5. Medium bus </c:v>
                </c:pt>
                <c:pt idx="6">
                  <c:v>6. Large Bus</c:v>
                </c:pt>
                <c:pt idx="7">
                  <c:v>7. Light Truck </c:v>
                </c:pt>
                <c:pt idx="8">
                  <c:v>8. Medium Truck </c:v>
                </c:pt>
                <c:pt idx="9">
                  <c:v>9. Heavy truck </c:v>
                </c:pt>
                <c:pt idx="10">
                  <c:v>10. Truck Trailer </c:v>
                </c:pt>
                <c:pt idx="11">
                  <c:v>12. Tractors</c:v>
                </c:pt>
              </c:strCache>
            </c:strRef>
          </c:cat>
          <c:val>
            <c:numRef>
              <c:f>'[1]Avg Week Munyonyo-Kibuye-2Dir'!$C$108:$N$108</c:f>
              <c:numCache>
                <c:formatCode>General</c:formatCode>
                <c:ptCount val="12"/>
                <c:pt idx="0">
                  <c:v>0.35853869505093411</c:v>
                </c:pt>
                <c:pt idx="1">
                  <c:v>0.13306778176288778</c:v>
                </c:pt>
                <c:pt idx="2">
                  <c:v>3.7160691756331646E-2</c:v>
                </c:pt>
                <c:pt idx="3">
                  <c:v>0.42252450291721066</c:v>
                </c:pt>
                <c:pt idx="4">
                  <c:v>4.5837947429604037E-3</c:v>
                </c:pt>
                <c:pt idx="5">
                  <c:v>9.2557393848238909E-4</c:v>
                </c:pt>
                <c:pt idx="6">
                  <c:v>3.1519098226534203E-2</c:v>
                </c:pt>
                <c:pt idx="7">
                  <c:v>5.8674776457365756E-3</c:v>
                </c:pt>
                <c:pt idx="8">
                  <c:v>5.1016753990160259E-3</c:v>
                </c:pt>
                <c:pt idx="9">
                  <c:v>3.9116517638243829E-4</c:v>
                </c:pt>
                <c:pt idx="10">
                  <c:v>3.9116502739489079E-4</c:v>
                </c:pt>
                <c:pt idx="11">
                  <c:v>3.1954338352368198E-4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EBC-4B36-8250-73EF7D5BB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317499</xdr:colOff>
      <xdr:row>20</xdr:row>
      <xdr:rowOff>31750</xdr:rowOff>
    </xdr:from>
    <xdr:to>
      <xdr:col>9</xdr:col>
      <xdr:colOff>0</xdr:colOff>
      <xdr:row>35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971549</xdr:colOff>
      <xdr:row>19</xdr:row>
      <xdr:rowOff>253999</xdr:rowOff>
    </xdr:from>
    <xdr:to>
      <xdr:col>22</xdr:col>
      <xdr:colOff>396875</xdr:colOff>
      <xdr:row>39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20</xdr:row>
      <xdr:rowOff>15875</xdr:rowOff>
    </xdr:from>
    <xdr:to>
      <xdr:col>14</xdr:col>
      <xdr:colOff>793750</xdr:colOff>
      <xdr:row>39</xdr:row>
      <xdr:rowOff>269875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317499</xdr:colOff>
      <xdr:row>20</xdr:row>
      <xdr:rowOff>31750</xdr:rowOff>
    </xdr:from>
    <xdr:to>
      <xdr:col>9</xdr:col>
      <xdr:colOff>0</xdr:colOff>
      <xdr:row>39</xdr:row>
      <xdr:rowOff>206375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971549</xdr:colOff>
      <xdr:row>19</xdr:row>
      <xdr:rowOff>253999</xdr:rowOff>
    </xdr:from>
    <xdr:to>
      <xdr:col>22</xdr:col>
      <xdr:colOff>396875</xdr:colOff>
      <xdr:row>39</xdr:row>
      <xdr:rowOff>269875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20</xdr:row>
      <xdr:rowOff>15875</xdr:rowOff>
    </xdr:from>
    <xdr:to>
      <xdr:col>14</xdr:col>
      <xdr:colOff>793750</xdr:colOff>
      <xdr:row>39</xdr:row>
      <xdr:rowOff>269875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317498</xdr:colOff>
      <xdr:row>20</xdr:row>
      <xdr:rowOff>31750</xdr:rowOff>
    </xdr:from>
    <xdr:to>
      <xdr:col>9</xdr:col>
      <xdr:colOff>922498</xdr:colOff>
      <xdr:row>35</xdr:row>
      <xdr:rowOff>245500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146048</xdr:colOff>
      <xdr:row>20</xdr:row>
      <xdr:rowOff>31749</xdr:rowOff>
    </xdr:from>
    <xdr:to>
      <xdr:col>22</xdr:col>
      <xdr:colOff>577423</xdr:colOff>
      <xdr:row>35</xdr:row>
      <xdr:rowOff>245499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1016000</xdr:colOff>
      <xdr:row>20</xdr:row>
      <xdr:rowOff>31750</xdr:rowOff>
    </xdr:from>
    <xdr:to>
      <xdr:col>15</xdr:col>
      <xdr:colOff>50375</xdr:colOff>
      <xdr:row>35</xdr:row>
      <xdr:rowOff>245500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R.O/Desktop/STN-C1-RD-1A-SALAMA%20ROAD/MCC%20DATA/MCC-C1-STN1A-%20SALAMA%20Roa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ATC%20STN-13_MITYANA%20RBT-SENTEMA%20RBT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ATC%20STN-19_HOIMA%20RBT-BWAISE%20RBT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ATC%20STN-27_GAYAZA%20ROAD%20RBT-KYEBANDO%20RBT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ATC%20STN-16_SENTEMA%20RBT-HOIMA%20RBT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ATC%20STN-40_NALYA%20RBT-BWEYOGERE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.07 Kibuye-Munyonyo"/>
      <sheetName val="22.07 Munyonyo-Kibuye"/>
      <sheetName val="23.07 Kibuye-Munyonyo"/>
      <sheetName val="23.07 Munyonyo-Kibuye"/>
      <sheetName val="24.07 Kibuye-Munyonyo"/>
      <sheetName val="24.07 Munyonyo-Kibuye"/>
      <sheetName val="25.07 Kibuye-Munyonyo"/>
      <sheetName val="25.07 Munyonyo-Kibuye"/>
      <sheetName val="26.07 Kibuye-Munyonyo-24h"/>
      <sheetName val="26.07 Munyonyo-Kibuye-24h"/>
      <sheetName val="27.07 Kibuye-Munyonyo-24h"/>
      <sheetName val="27.07 Munyonyo-Kibuye-24h"/>
      <sheetName val="28.07 Kibuye-Munyonyo"/>
      <sheetName val="28.07 Munyonyo-Kibuye"/>
      <sheetName val="Avg Week Kibuye-Munyonyo"/>
      <sheetName val="Avg Week Munyonyo-Kibuye"/>
      <sheetName val="proportions"/>
      <sheetName val="Avg Week Munyonyo-Kibuye-2Di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07">
          <cell r="C107">
            <v>0.12930183209716614</v>
          </cell>
          <cell r="D107">
            <v>4.7988984766631639E-2</v>
          </cell>
          <cell r="E107">
            <v>1.3401469889907276E-2</v>
          </cell>
          <cell r="F107">
            <v>0.15237739492909838</v>
          </cell>
          <cell r="G107">
            <v>1.6530797551375614E-3</v>
          </cell>
          <cell r="H107">
            <v>3.3379495055662294E-4</v>
          </cell>
          <cell r="I107">
            <v>1.1366910191276423E-2</v>
          </cell>
          <cell r="J107">
            <v>2.1160215615643068E-3</v>
          </cell>
          <cell r="K107">
            <v>1.8398459774728146E-3</v>
          </cell>
          <cell r="L107">
            <v>1.4106810410428709E-4</v>
          </cell>
          <cell r="M107">
            <v>0.63936435904415434</v>
          </cell>
          <cell r="N107">
            <v>1.1523873293026267E-4</v>
          </cell>
        </row>
        <row r="108">
          <cell r="C108">
            <v>0.35853869505093411</v>
          </cell>
          <cell r="D108">
            <v>0.13306778176288778</v>
          </cell>
          <cell r="E108">
            <v>3.7160691756331646E-2</v>
          </cell>
          <cell r="F108">
            <v>0.42252450291721066</v>
          </cell>
          <cell r="G108">
            <v>4.5837947429604037E-3</v>
          </cell>
          <cell r="H108">
            <v>9.2557393848238909E-4</v>
          </cell>
          <cell r="I108">
            <v>3.1519098226534203E-2</v>
          </cell>
          <cell r="J108">
            <v>5.8674776457365756E-3</v>
          </cell>
          <cell r="K108">
            <v>5.1016753990160259E-3</v>
          </cell>
          <cell r="L108">
            <v>3.9116517638243829E-4</v>
          </cell>
          <cell r="M108">
            <v>3.9116502739489079E-4</v>
          </cell>
          <cell r="N108">
            <v>3.1954338352368198E-4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.01 MITYANA RBT-SENTEMA RBT"/>
      <sheetName val="21.01 SENTEMA RBT-MITYAN RBT"/>
      <sheetName val="21.01 SENTEMA-MITYANA 2DIR"/>
    </sheetNames>
    <sheetDataSet>
      <sheetData sheetId="0"/>
      <sheetData sheetId="1"/>
      <sheetData sheetId="2">
        <row r="14">
          <cell r="AB14">
            <v>1.1712327100150082</v>
          </cell>
          <cell r="AC14">
            <v>1.1745149352795519</v>
          </cell>
        </row>
        <row r="15">
          <cell r="AB15">
            <v>1.2149109641828584</v>
          </cell>
          <cell r="AC15">
            <v>1.2156499406706649</v>
          </cell>
        </row>
        <row r="16">
          <cell r="AB16">
            <v>1.1004583620654687</v>
          </cell>
          <cell r="AC16">
            <v>1.1064839648250189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-26-HOIMA RBT-BWAISE RBT"/>
      <sheetName val="20-26-BWAISE RBT-HOIMA RBT"/>
      <sheetName val="20-26-BWAISE -HOIMA RBT 2DIR"/>
    </sheetNames>
    <sheetDataSet>
      <sheetData sheetId="0"/>
      <sheetData sheetId="1"/>
      <sheetData sheetId="2">
        <row r="14">
          <cell r="AB14">
            <v>1.1132884026033265</v>
          </cell>
          <cell r="AC14">
            <v>1.1135696202531646</v>
          </cell>
        </row>
        <row r="15">
          <cell r="AB15">
            <v>1.0276587406117688</v>
          </cell>
          <cell r="AC15">
            <v>1.0562700421940929</v>
          </cell>
        </row>
        <row r="16">
          <cell r="AB16">
            <v>0.96775395606725456</v>
          </cell>
          <cell r="AC16">
            <v>0.98297046413502109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-28-GAYAZA RBT-KYEBANDO RBT"/>
      <sheetName val="21-28-KYEBANDO RBT-GAYAZA RBT"/>
      <sheetName val="21-28-KYEBANDO-GAYAZA 2DIR"/>
    </sheetNames>
    <sheetDataSet>
      <sheetData sheetId="0"/>
      <sheetData sheetId="1"/>
      <sheetData sheetId="2">
        <row r="14">
          <cell r="AB14">
            <v>1.0507043521310588</v>
          </cell>
          <cell r="AC14">
            <v>1.0264710748359342</v>
          </cell>
        </row>
        <row r="15">
          <cell r="AB15">
            <v>1.0128628651154417</v>
          </cell>
          <cell r="AC15">
            <v>0.98916340373903933</v>
          </cell>
        </row>
        <row r="16">
          <cell r="AB16">
            <v>0.96767631306539448</v>
          </cell>
          <cell r="AC16">
            <v>1.0134837037445541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-28-SENTEMA RBT-HOIMA RBT"/>
      <sheetName val="21-28-HOIMA RBT-SENTEMA RBT"/>
      <sheetName val="SENTEMA RBT-HOIMA RBT - 2DIR"/>
    </sheetNames>
    <sheetDataSet>
      <sheetData sheetId="0"/>
      <sheetData sheetId="1"/>
      <sheetData sheetId="2">
        <row r="14">
          <cell r="AB14">
            <v>1.0817253406268033</v>
          </cell>
          <cell r="AC14">
            <v>1.0550009961255176</v>
          </cell>
        </row>
        <row r="15">
          <cell r="AB15">
            <v>1.0250483025117307</v>
          </cell>
          <cell r="AC15">
            <v>1.0333142037587135</v>
          </cell>
        </row>
        <row r="16">
          <cell r="AB16">
            <v>1.0419228163500869</v>
          </cell>
          <cell r="AC16">
            <v>1.038686343366944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9-04-NALYA RBT-BWEYOGERERE"/>
      <sheetName val="29-04-BWEYOGERERE-NALYA RBT"/>
      <sheetName val="29-04-BWEYOGERERE-NALYA  2 DIR"/>
    </sheetNames>
    <sheetDataSet>
      <sheetData sheetId="0" refreshError="1"/>
      <sheetData sheetId="1" refreshError="1"/>
      <sheetData sheetId="2">
        <row r="14">
          <cell r="AB14">
            <v>1.0570056926991784</v>
          </cell>
          <cell r="AC14">
            <v>1.0300481356263329</v>
          </cell>
        </row>
        <row r="15">
          <cell r="AB15">
            <v>1.2500852593194993</v>
          </cell>
          <cell r="AC15">
            <v>1.2348334789521953</v>
          </cell>
        </row>
        <row r="16">
          <cell r="AB16">
            <v>0.88543770822949164</v>
          </cell>
          <cell r="AC16">
            <v>0.94061463822305147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249977111117893"/>
  </sheetPr>
  <dimension ref="B1:AD151"/>
  <sheetViews>
    <sheetView view="pageBreakPreview" topLeftCell="A4" zoomScale="60" workbookViewId="0">
      <selection activeCell="C14" sqref="C14:C15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31" t="s">
        <v>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32" t="s">
        <v>25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5" t="s">
        <v>30</v>
      </c>
      <c r="D3" s="35"/>
      <c r="E3" s="35"/>
      <c r="F3" s="35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4" t="s">
        <v>28</v>
      </c>
      <c r="E5" s="34"/>
      <c r="F5" s="4" t="s">
        <v>3</v>
      </c>
      <c r="G5" s="36"/>
      <c r="H5" s="37"/>
      <c r="I5" s="5"/>
      <c r="J5" s="3" t="s">
        <v>4</v>
      </c>
      <c r="K5" s="36" t="s">
        <v>14</v>
      </c>
      <c r="L5" s="37"/>
      <c r="M5" s="2"/>
      <c r="N5" s="2"/>
    </row>
    <row r="6" spans="2:30" ht="23.25" customHeight="1" x14ac:dyDescent="0.25">
      <c r="C6" s="3" t="s">
        <v>5</v>
      </c>
      <c r="D6" s="38" t="s">
        <v>27</v>
      </c>
      <c r="E6" s="39"/>
      <c r="F6" s="3" t="s">
        <v>6</v>
      </c>
      <c r="G6" s="38" t="s">
        <v>29</v>
      </c>
      <c r="H6" s="39"/>
      <c r="J6" s="3" t="s">
        <v>7</v>
      </c>
      <c r="K6" s="38" t="s">
        <v>13</v>
      </c>
      <c r="L6" s="39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3" t="s">
        <v>9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R8"/>
      <c r="S8"/>
    </row>
    <row r="9" spans="2:30" ht="98.25" customHeight="1" x14ac:dyDescent="0.25">
      <c r="B9" s="14" t="s">
        <v>8</v>
      </c>
      <c r="C9" s="26" t="s">
        <v>15</v>
      </c>
      <c r="D9" s="26" t="s">
        <v>32</v>
      </c>
      <c r="E9" s="26" t="s">
        <v>33</v>
      </c>
      <c r="F9" s="26" t="s">
        <v>34</v>
      </c>
      <c r="G9" s="26" t="s">
        <v>35</v>
      </c>
      <c r="H9" s="26" t="s">
        <v>36</v>
      </c>
      <c r="I9" s="26" t="s">
        <v>37</v>
      </c>
      <c r="J9" s="26" t="s">
        <v>38</v>
      </c>
      <c r="K9" s="26" t="s">
        <v>39</v>
      </c>
      <c r="L9" s="26" t="s">
        <v>40</v>
      </c>
      <c r="M9" s="26" t="s">
        <v>41</v>
      </c>
      <c r="N9" s="26" t="s">
        <v>42</v>
      </c>
      <c r="O9" s="7" t="s">
        <v>10</v>
      </c>
      <c r="P9" s="7" t="s">
        <v>24</v>
      </c>
      <c r="R9"/>
      <c r="S9"/>
    </row>
    <row r="10" spans="2:30" ht="23.1" customHeight="1" x14ac:dyDescent="0.25">
      <c r="B10" s="6" t="s">
        <v>16</v>
      </c>
      <c r="C10" s="8">
        <v>3093</v>
      </c>
      <c r="D10" s="8">
        <f>$O10*D$20</f>
        <v>6742.7958387111803</v>
      </c>
      <c r="E10" s="8">
        <f t="shared" ref="E10:N16" si="0">$O10*E$20</f>
        <v>1043.4197210257046</v>
      </c>
      <c r="F10" s="8">
        <f t="shared" si="0"/>
        <v>953.06899715427528</v>
      </c>
      <c r="G10" s="8">
        <f t="shared" si="0"/>
        <v>2756.4658279814007</v>
      </c>
      <c r="H10" s="8">
        <f t="shared" si="0"/>
        <v>176.22461007355341</v>
      </c>
      <c r="I10" s="8">
        <f t="shared" si="0"/>
        <v>58.877198438739157</v>
      </c>
      <c r="J10" s="8">
        <f t="shared" si="0"/>
        <v>1066.8439827701493</v>
      </c>
      <c r="K10" s="8">
        <f t="shared" si="0"/>
        <v>880.53518279502975</v>
      </c>
      <c r="L10" s="8">
        <f t="shared" si="0"/>
        <v>390.3892888799042</v>
      </c>
      <c r="M10" s="8">
        <f t="shared" si="0"/>
        <v>470.7010434322857</v>
      </c>
      <c r="N10" s="8">
        <f t="shared" si="0"/>
        <v>0.67830873777349265</v>
      </c>
      <c r="O10" s="9">
        <v>14540</v>
      </c>
      <c r="P10" s="9">
        <f>SUM(C10:N10)</f>
        <v>17633</v>
      </c>
      <c r="R10"/>
      <c r="S10"/>
    </row>
    <row r="11" spans="2:30" s="10" customFormat="1" ht="23.1" customHeight="1" x14ac:dyDescent="0.25">
      <c r="B11" s="6" t="s">
        <v>20</v>
      </c>
      <c r="C11" s="8">
        <v>2548</v>
      </c>
      <c r="D11" s="8">
        <f t="shared" ref="D11:D16" si="1">$O11*D$20</f>
        <v>5309.835787705847</v>
      </c>
      <c r="E11" s="8">
        <f t="shared" si="0"/>
        <v>821.67508980359821</v>
      </c>
      <c r="F11" s="8">
        <f t="shared" si="0"/>
        <v>750.52544824047118</v>
      </c>
      <c r="G11" s="8">
        <f t="shared" si="0"/>
        <v>2170.6694450059863</v>
      </c>
      <c r="H11" s="8">
        <f t="shared" si="0"/>
        <v>138.77385043618889</v>
      </c>
      <c r="I11" s="8">
        <f t="shared" si="0"/>
        <v>46.364781439034623</v>
      </c>
      <c r="J11" s="8">
        <f t="shared" si="0"/>
        <v>840.12129317181621</v>
      </c>
      <c r="K11" s="8">
        <f t="shared" si="0"/>
        <v>693.40631657517827</v>
      </c>
      <c r="L11" s="8">
        <f t="shared" si="0"/>
        <v>307.42485265989706</v>
      </c>
      <c r="M11" s="8">
        <f t="shared" si="0"/>
        <v>370.66897849378762</v>
      </c>
      <c r="N11" s="8">
        <f t="shared" si="0"/>
        <v>0.53415646819164309</v>
      </c>
      <c r="O11" s="9">
        <v>11450</v>
      </c>
      <c r="P11" s="9">
        <f t="shared" ref="P11:P16" si="2">SUM(C11:N11)</f>
        <v>13997.999999999996</v>
      </c>
    </row>
    <row r="12" spans="2:30" ht="23.1" customHeight="1" x14ac:dyDescent="0.25">
      <c r="B12" s="6" t="s">
        <v>21</v>
      </c>
      <c r="C12" s="29">
        <v>3052</v>
      </c>
      <c r="D12" s="8">
        <f t="shared" si="1"/>
        <v>5921.0465796880571</v>
      </c>
      <c r="E12" s="8">
        <f t="shared" si="0"/>
        <v>916.25742765173288</v>
      </c>
      <c r="F12" s="8">
        <f t="shared" si="0"/>
        <v>836.9178098807281</v>
      </c>
      <c r="G12" s="8">
        <f t="shared" si="0"/>
        <v>2420.5334038285096</v>
      </c>
      <c r="H12" s="8">
        <f t="shared" si="0"/>
        <v>154.74799322002269</v>
      </c>
      <c r="I12" s="8">
        <f t="shared" si="0"/>
        <v>51.701792961885943</v>
      </c>
      <c r="J12" s="8">
        <f t="shared" si="0"/>
        <v>936.82695818495631</v>
      </c>
      <c r="K12" s="8">
        <f t="shared" si="0"/>
        <v>773.2237423608625</v>
      </c>
      <c r="L12" s="8">
        <f t="shared" si="0"/>
        <v>342.81227238092276</v>
      </c>
      <c r="M12" s="8">
        <f t="shared" si="0"/>
        <v>413.33637706626024</v>
      </c>
      <c r="N12" s="8">
        <f t="shared" si="0"/>
        <v>0.59564277605859384</v>
      </c>
      <c r="O12" s="9">
        <v>12768</v>
      </c>
      <c r="P12" s="9">
        <f t="shared" si="2"/>
        <v>15819.999999999995</v>
      </c>
      <c r="R12"/>
      <c r="S12"/>
    </row>
    <row r="13" spans="2:30" ht="23.1" customHeight="1" x14ac:dyDescent="0.25">
      <c r="B13" s="6" t="s">
        <v>17</v>
      </c>
      <c r="C13" s="29">
        <v>3059</v>
      </c>
      <c r="D13" s="8">
        <f t="shared" si="1"/>
        <v>6328.6750213818068</v>
      </c>
      <c r="E13" s="8">
        <f t="shared" si="0"/>
        <v>979.33624022268157</v>
      </c>
      <c r="F13" s="8">
        <f t="shared" si="0"/>
        <v>894.53456699892672</v>
      </c>
      <c r="G13" s="8">
        <f t="shared" si="0"/>
        <v>2587.1725690826806</v>
      </c>
      <c r="H13" s="8">
        <f t="shared" si="0"/>
        <v>165.40146173822444</v>
      </c>
      <c r="I13" s="8">
        <f t="shared" si="0"/>
        <v>55.261150419083449</v>
      </c>
      <c r="J13" s="8">
        <f t="shared" si="0"/>
        <v>1001.321859206618</v>
      </c>
      <c r="K13" s="8">
        <f t="shared" si="0"/>
        <v>826.45554605252903</v>
      </c>
      <c r="L13" s="8">
        <f t="shared" si="0"/>
        <v>366.41283530564323</v>
      </c>
      <c r="M13" s="8">
        <f t="shared" si="0"/>
        <v>441.79210039342524</v>
      </c>
      <c r="N13" s="8">
        <f t="shared" si="0"/>
        <v>0.63664919837653744</v>
      </c>
      <c r="O13" s="9">
        <v>13647</v>
      </c>
      <c r="P13" s="9">
        <f t="shared" si="2"/>
        <v>16705.999999999996</v>
      </c>
      <c r="R13"/>
      <c r="S13"/>
      <c r="AB13" s="27">
        <f>AVERAGE(O10:O13)</f>
        <v>13101.25</v>
      </c>
      <c r="AC13" s="27">
        <f>AVERAGE(P10:P13)</f>
        <v>16039.249999999996</v>
      </c>
    </row>
    <row r="14" spans="2:30" ht="23.1" customHeight="1" x14ac:dyDescent="0.25">
      <c r="B14" s="6" t="s">
        <v>18</v>
      </c>
      <c r="C14" s="8">
        <f>AB14*AVERAGE(C10:C13)</f>
        <v>3216.4968382690913</v>
      </c>
      <c r="D14" s="8">
        <f t="shared" si="1"/>
        <v>6651.501218406248</v>
      </c>
      <c r="E14" s="8">
        <f t="shared" si="0"/>
        <v>1029.2922567618707</v>
      </c>
      <c r="F14" s="8">
        <f t="shared" si="0"/>
        <v>940.16484369910654</v>
      </c>
      <c r="G14" s="8">
        <f t="shared" si="0"/>
        <v>2719.1444397666892</v>
      </c>
      <c r="H14" s="8">
        <f t="shared" si="0"/>
        <v>173.83860295575153</v>
      </c>
      <c r="I14" s="8">
        <f t="shared" si="0"/>
        <v>58.080025929789187</v>
      </c>
      <c r="J14" s="8">
        <f t="shared" si="0"/>
        <v>1052.399363852217</v>
      </c>
      <c r="K14" s="8">
        <f t="shared" si="0"/>
        <v>868.61310668575652</v>
      </c>
      <c r="L14" s="8">
        <f t="shared" si="0"/>
        <v>385.10358206748856</v>
      </c>
      <c r="M14" s="8">
        <f t="shared" si="0"/>
        <v>464.32794923438996</v>
      </c>
      <c r="N14" s="8">
        <f t="shared" si="0"/>
        <v>0.66912472269342382</v>
      </c>
      <c r="O14" s="9">
        <f>AB14*AB13</f>
        <v>14343.134514082005</v>
      </c>
      <c r="P14" s="9">
        <f t="shared" si="2"/>
        <v>17559.631352351091</v>
      </c>
      <c r="R14"/>
      <c r="S14"/>
      <c r="AB14" s="28">
        <v>1.0947912996150753</v>
      </c>
      <c r="AC14" s="28">
        <v>1.0799209524241002</v>
      </c>
    </row>
    <row r="15" spans="2:30" ht="23.1" customHeight="1" x14ac:dyDescent="0.25">
      <c r="B15" s="6" t="s">
        <v>19</v>
      </c>
      <c r="C15" s="8">
        <f>AB15*AVERAGE(C11:C14)</f>
        <v>3283.9110305665959</v>
      </c>
      <c r="D15" s="8">
        <f t="shared" si="1"/>
        <v>6720.2885840776426</v>
      </c>
      <c r="E15" s="8">
        <f t="shared" si="0"/>
        <v>1039.9368166174245</v>
      </c>
      <c r="F15" s="8">
        <f t="shared" si="0"/>
        <v>949.88768081081889</v>
      </c>
      <c r="G15" s="8">
        <f t="shared" si="0"/>
        <v>2747.2648259396601</v>
      </c>
      <c r="H15" s="8">
        <f t="shared" si="0"/>
        <v>175.63637749666739</v>
      </c>
      <c r="I15" s="8">
        <f t="shared" si="0"/>
        <v>58.680668078178321</v>
      </c>
      <c r="J15" s="8">
        <f t="shared" si="0"/>
        <v>1063.2828888635813</v>
      </c>
      <c r="K15" s="8">
        <f t="shared" si="0"/>
        <v>877.59598219530585</v>
      </c>
      <c r="L15" s="8">
        <f t="shared" si="0"/>
        <v>389.08618089010258</v>
      </c>
      <c r="M15" s="8">
        <f t="shared" si="0"/>
        <v>469.12985716264075</v>
      </c>
      <c r="N15" s="8">
        <f t="shared" si="0"/>
        <v>0.67604456311265348</v>
      </c>
      <c r="O15" s="9">
        <f>AB15*AB13</f>
        <v>14491.465906695139</v>
      </c>
      <c r="P15" s="9">
        <f t="shared" si="2"/>
        <v>17775.376937261728</v>
      </c>
      <c r="R15"/>
      <c r="S15"/>
      <c r="AB15" s="28">
        <v>1.1061132263482598</v>
      </c>
      <c r="AC15" s="28">
        <v>1.1058462138629412</v>
      </c>
    </row>
    <row r="16" spans="2:30" ht="23.1" customHeight="1" x14ac:dyDescent="0.25">
      <c r="B16" s="6" t="s">
        <v>22</v>
      </c>
      <c r="C16" s="29">
        <v>3942</v>
      </c>
      <c r="D16" s="8">
        <f t="shared" si="1"/>
        <v>6351.8620772233171</v>
      </c>
      <c r="E16" s="8">
        <f t="shared" si="0"/>
        <v>982.92434105151824</v>
      </c>
      <c r="F16" s="8">
        <f t="shared" si="0"/>
        <v>897.81197070303358</v>
      </c>
      <c r="G16" s="8">
        <f t="shared" si="0"/>
        <v>2596.6514749560693</v>
      </c>
      <c r="H16" s="8">
        <f t="shared" si="0"/>
        <v>166.00746108510737</v>
      </c>
      <c r="I16" s="8">
        <f t="shared" si="0"/>
        <v>55.463616713577046</v>
      </c>
      <c r="J16" s="8">
        <f t="shared" si="0"/>
        <v>1004.9905111418661</v>
      </c>
      <c r="K16" s="8">
        <f t="shared" si="0"/>
        <v>829.48352123407994</v>
      </c>
      <c r="L16" s="8">
        <f t="shared" si="0"/>
        <v>367.75530191114495</v>
      </c>
      <c r="M16" s="8">
        <f t="shared" si="0"/>
        <v>443.41074222090907</v>
      </c>
      <c r="N16" s="8">
        <f t="shared" si="0"/>
        <v>0.6389817593730075</v>
      </c>
      <c r="O16" s="9">
        <v>13697</v>
      </c>
      <c r="P16" s="9">
        <f t="shared" si="2"/>
        <v>17638.999999999993</v>
      </c>
      <c r="R16"/>
      <c r="S16"/>
      <c r="AB16" s="28">
        <v>0.99264983115553918</v>
      </c>
      <c r="AC16" s="28">
        <v>1.0164478228589178</v>
      </c>
    </row>
    <row r="17" spans="2:19" ht="24.75" customHeight="1" x14ac:dyDescent="0.25">
      <c r="B17" s="16" t="s">
        <v>23</v>
      </c>
      <c r="C17" s="11">
        <f>AVERAGE(C10:C16)</f>
        <v>3170.6296955479552</v>
      </c>
      <c r="D17" s="11">
        <f t="shared" ref="D17:N17" si="3">AVERAGE(D10:D16)</f>
        <v>6289.4293010277279</v>
      </c>
      <c r="E17" s="11">
        <f t="shared" si="3"/>
        <v>973.26312759064717</v>
      </c>
      <c r="F17" s="11">
        <f t="shared" si="3"/>
        <v>888.98733106962288</v>
      </c>
      <c r="G17" s="11">
        <f t="shared" si="3"/>
        <v>2571.1288552229994</v>
      </c>
      <c r="H17" s="11">
        <f t="shared" si="3"/>
        <v>164.37576528650223</v>
      </c>
      <c r="I17" s="11">
        <f t="shared" si="3"/>
        <v>54.918461997183961</v>
      </c>
      <c r="J17" s="11">
        <f t="shared" si="3"/>
        <v>995.11240817017199</v>
      </c>
      <c r="K17" s="11">
        <f t="shared" si="3"/>
        <v>821.33048541410608</v>
      </c>
      <c r="L17" s="11">
        <f t="shared" si="3"/>
        <v>364.14061629930058</v>
      </c>
      <c r="M17" s="11">
        <f t="shared" si="3"/>
        <v>439.05243542909977</v>
      </c>
      <c r="N17" s="11">
        <f t="shared" si="3"/>
        <v>0.63270117508276458</v>
      </c>
      <c r="O17" s="12">
        <f>AVERAGE(O10:O16)</f>
        <v>13562.371488682449</v>
      </c>
      <c r="P17" s="12">
        <f>AVERAGE(P10:P16)</f>
        <v>16733.001184230401</v>
      </c>
      <c r="R17"/>
      <c r="S17"/>
    </row>
    <row r="18" spans="2:19" ht="23.1" customHeight="1" x14ac:dyDescent="0.25">
      <c r="B18" s="18" t="s">
        <v>11</v>
      </c>
      <c r="C18" s="17">
        <f>C$17/P$17</f>
        <v>0.18948362344801817</v>
      </c>
      <c r="D18" s="17">
        <f>D17/$P$17</f>
        <v>0.37586976967138708</v>
      </c>
      <c r="E18" s="17">
        <f>E17/$P$17</f>
        <v>5.8164289649837275E-2</v>
      </c>
      <c r="F18" s="17">
        <f t="shared" ref="F18:N18" si="4">F17/$P$17</f>
        <v>5.3127787495014747E-2</v>
      </c>
      <c r="G18" s="17">
        <f t="shared" si="4"/>
        <v>0.15365616884352434</v>
      </c>
      <c r="H18" s="17">
        <f t="shared" si="4"/>
        <v>9.8234478965682527E-3</v>
      </c>
      <c r="I18" s="17">
        <f t="shared" si="4"/>
        <v>3.2820449477371995E-3</v>
      </c>
      <c r="J18" s="17">
        <f t="shared" si="4"/>
        <v>5.9470049467754228E-2</v>
      </c>
      <c r="K18" s="17">
        <f t="shared" si="4"/>
        <v>4.9084469448800884E-2</v>
      </c>
      <c r="L18" s="17">
        <f t="shared" si="4"/>
        <v>2.1761823374666093E-2</v>
      </c>
      <c r="M18" s="17">
        <f t="shared" si="4"/>
        <v>2.6238714178952773E-2</v>
      </c>
      <c r="N18" s="17">
        <f t="shared" si="4"/>
        <v>3.7811577738907829E-5</v>
      </c>
      <c r="O18" s="12">
        <f>SUM(O10:O16)</f>
        <v>94936.600420777148</v>
      </c>
      <c r="P18" s="12">
        <f>SUM(P10:P16)</f>
        <v>117131.0082896128</v>
      </c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5">D$17/$O$17</f>
        <v>0.46374111683020491</v>
      </c>
      <c r="E19" s="17">
        <f t="shared" si="5"/>
        <v>7.1762016576733464E-2</v>
      </c>
      <c r="F19" s="17">
        <f t="shared" si="5"/>
        <v>6.5548074082137225E-2</v>
      </c>
      <c r="G19" s="17">
        <f t="shared" si="5"/>
        <v>0.18957811746777173</v>
      </c>
      <c r="H19" s="17">
        <f t="shared" si="5"/>
        <v>1.2119986937658417E-2</v>
      </c>
      <c r="I19" s="17">
        <f t="shared" si="5"/>
        <v>4.0493258898720193E-3</v>
      </c>
      <c r="J19" s="17">
        <f t="shared" si="5"/>
        <v>7.3373038704962118E-2</v>
      </c>
      <c r="K19" s="17">
        <f t="shared" si="5"/>
        <v>6.0559503631019938E-2</v>
      </c>
      <c r="L19" s="17">
        <f t="shared" si="5"/>
        <v>2.6849332110034683E-2</v>
      </c>
      <c r="M19" s="17">
        <f t="shared" si="5"/>
        <v>3.2372836549675772E-2</v>
      </c>
      <c r="N19" s="17">
        <f t="shared" si="5"/>
        <v>4.6651219929401145E-5</v>
      </c>
      <c r="O19" s="12"/>
      <c r="P19" s="12"/>
      <c r="R19"/>
      <c r="S19"/>
    </row>
    <row r="20" spans="2:19" ht="23.1" customHeight="1" x14ac:dyDescent="0.25">
      <c r="D20" s="24">
        <v>0.46374111683020497</v>
      </c>
      <c r="E20" s="24">
        <v>7.1762016576733464E-2</v>
      </c>
      <c r="F20" s="25">
        <v>6.5548074082137225E-2</v>
      </c>
      <c r="G20" s="25">
        <v>0.18957811746777173</v>
      </c>
      <c r="H20" s="25">
        <v>1.2119986937658419E-2</v>
      </c>
      <c r="I20" s="25">
        <v>4.0493258898720193E-3</v>
      </c>
      <c r="J20" s="25">
        <v>7.3373038704962118E-2</v>
      </c>
      <c r="K20" s="25">
        <v>6.0559503631019931E-2</v>
      </c>
      <c r="L20" s="25">
        <v>2.6849332110034676E-2</v>
      </c>
      <c r="M20" s="25">
        <v>3.2372836549675772E-2</v>
      </c>
      <c r="N20" s="25">
        <v>4.6651219929401145E-5</v>
      </c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B1:P1"/>
    <mergeCell ref="B2:P2"/>
    <mergeCell ref="C8:P8"/>
    <mergeCell ref="D5:E5"/>
    <mergeCell ref="C3:F3"/>
    <mergeCell ref="G5:H5"/>
    <mergeCell ref="K5:L5"/>
    <mergeCell ref="D6:E6"/>
    <mergeCell ref="G6:H6"/>
    <mergeCell ref="K6:L6"/>
  </mergeCells>
  <phoneticPr fontId="12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2" tint="-0.249977111117893"/>
  </sheetPr>
  <dimension ref="B1:AD151"/>
  <sheetViews>
    <sheetView view="pageBreakPreview" zoomScale="60" workbookViewId="0">
      <selection activeCell="C14" sqref="C14:C15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31" t="s">
        <v>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32" t="s">
        <v>25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5" t="s">
        <v>30</v>
      </c>
      <c r="D3" s="35"/>
      <c r="E3" s="35"/>
      <c r="F3" s="35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4" t="s">
        <v>28</v>
      </c>
      <c r="E5" s="34"/>
      <c r="F5" s="4" t="s">
        <v>3</v>
      </c>
      <c r="G5" s="36"/>
      <c r="H5" s="37"/>
      <c r="I5" s="5"/>
      <c r="J5" s="3" t="s">
        <v>4</v>
      </c>
      <c r="K5" s="36" t="s">
        <v>14</v>
      </c>
      <c r="L5" s="37"/>
      <c r="M5" s="2"/>
      <c r="N5" s="2"/>
    </row>
    <row r="6" spans="2:30" ht="23.25" customHeight="1" x14ac:dyDescent="0.25">
      <c r="C6" s="3" t="s">
        <v>5</v>
      </c>
      <c r="D6" s="38" t="s">
        <v>29</v>
      </c>
      <c r="E6" s="39"/>
      <c r="F6" s="3" t="s">
        <v>6</v>
      </c>
      <c r="G6" s="38" t="s">
        <v>27</v>
      </c>
      <c r="H6" s="39"/>
      <c r="J6" s="3" t="s">
        <v>7</v>
      </c>
      <c r="K6" s="38" t="s">
        <v>13</v>
      </c>
      <c r="L6" s="39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3" t="s">
        <v>26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R8"/>
      <c r="S8"/>
    </row>
    <row r="9" spans="2:30" ht="98.25" customHeight="1" x14ac:dyDescent="0.25">
      <c r="B9" s="14" t="s">
        <v>8</v>
      </c>
      <c r="C9" s="26" t="s">
        <v>15</v>
      </c>
      <c r="D9" s="26" t="s">
        <v>32</v>
      </c>
      <c r="E9" s="26" t="s">
        <v>33</v>
      </c>
      <c r="F9" s="26" t="s">
        <v>34</v>
      </c>
      <c r="G9" s="26" t="s">
        <v>35</v>
      </c>
      <c r="H9" s="26" t="s">
        <v>36</v>
      </c>
      <c r="I9" s="26" t="s">
        <v>37</v>
      </c>
      <c r="J9" s="26" t="s">
        <v>38</v>
      </c>
      <c r="K9" s="26" t="s">
        <v>39</v>
      </c>
      <c r="L9" s="26" t="s">
        <v>40</v>
      </c>
      <c r="M9" s="26" t="s">
        <v>41</v>
      </c>
      <c r="N9" s="26" t="s">
        <v>42</v>
      </c>
      <c r="O9" s="7" t="s">
        <v>10</v>
      </c>
      <c r="P9" s="7" t="s">
        <v>24</v>
      </c>
      <c r="R9"/>
      <c r="S9"/>
    </row>
    <row r="10" spans="2:30" ht="23.1" customHeight="1" x14ac:dyDescent="0.25">
      <c r="B10" s="6" t="s">
        <v>16</v>
      </c>
      <c r="C10" s="22">
        <v>2445</v>
      </c>
      <c r="D10" s="8">
        <f>$O10*D$20</f>
        <v>6270.707381778032</v>
      </c>
      <c r="E10" s="8">
        <f t="shared" ref="E10:N16" si="0">$O10*E$20</f>
        <v>970.36598815058994</v>
      </c>
      <c r="F10" s="8">
        <f t="shared" si="0"/>
        <v>886.34105773865952</v>
      </c>
      <c r="G10" s="8">
        <f t="shared" si="0"/>
        <v>2563.4753043992091</v>
      </c>
      <c r="H10" s="8">
        <f t="shared" si="0"/>
        <v>163.88646337101713</v>
      </c>
      <c r="I10" s="8">
        <f t="shared" si="0"/>
        <v>54.754984682849447</v>
      </c>
      <c r="J10" s="8">
        <f t="shared" si="0"/>
        <v>992.15022936849778</v>
      </c>
      <c r="K10" s="8">
        <f t="shared" si="0"/>
        <v>818.88560809865146</v>
      </c>
      <c r="L10" s="8">
        <f t="shared" si="0"/>
        <v>363.05666879188891</v>
      </c>
      <c r="M10" s="8">
        <f t="shared" si="0"/>
        <v>437.74549582471582</v>
      </c>
      <c r="N10" s="8">
        <f t="shared" si="0"/>
        <v>0.63081779588536224</v>
      </c>
      <c r="O10" s="9">
        <v>13522</v>
      </c>
      <c r="P10" s="9">
        <f>SUM(C10:N10)</f>
        <v>15966.999999999998</v>
      </c>
      <c r="R10"/>
      <c r="S10"/>
    </row>
    <row r="11" spans="2:30" s="10" customFormat="1" ht="23.1" customHeight="1" x14ac:dyDescent="0.25">
      <c r="B11" s="6" t="s">
        <v>20</v>
      </c>
      <c r="C11" s="23">
        <v>1872</v>
      </c>
      <c r="D11" s="8">
        <f t="shared" ref="D11:D16" si="1">$O11*D$20</f>
        <v>4947.1902343446263</v>
      </c>
      <c r="E11" s="8">
        <f t="shared" si="0"/>
        <v>765.55719284059262</v>
      </c>
      <c r="F11" s="8">
        <f t="shared" si="0"/>
        <v>699.26685430823989</v>
      </c>
      <c r="G11" s="8">
        <f t="shared" si="0"/>
        <v>2022.4193571461888</v>
      </c>
      <c r="H11" s="8">
        <f t="shared" si="0"/>
        <v>129.29602065094002</v>
      </c>
      <c r="I11" s="8">
        <f t="shared" si="0"/>
        <v>43.198208593154703</v>
      </c>
      <c r="J11" s="8">
        <f t="shared" si="0"/>
        <v>782.74357690453587</v>
      </c>
      <c r="K11" s="8">
        <f t="shared" si="0"/>
        <v>646.04878473572057</v>
      </c>
      <c r="L11" s="8">
        <f t="shared" si="0"/>
        <v>286.42867494984995</v>
      </c>
      <c r="M11" s="8">
        <f t="shared" si="0"/>
        <v>345.35342031194114</v>
      </c>
      <c r="N11" s="8">
        <f t="shared" si="0"/>
        <v>0.4976752142068514</v>
      </c>
      <c r="O11" s="9">
        <v>10668</v>
      </c>
      <c r="P11" s="9">
        <f t="shared" ref="P11:P16" si="2">SUM(C11:N11)</f>
        <v>12539.999999999995</v>
      </c>
    </row>
    <row r="12" spans="2:30" ht="23.1" customHeight="1" x14ac:dyDescent="0.25">
      <c r="B12" s="6" t="s">
        <v>21</v>
      </c>
      <c r="C12" s="22">
        <v>2551</v>
      </c>
      <c r="D12" s="8">
        <f t="shared" si="1"/>
        <v>5590.8629045049511</v>
      </c>
      <c r="E12" s="8">
        <f t="shared" si="0"/>
        <v>865.16287184909868</v>
      </c>
      <c r="F12" s="8">
        <f t="shared" si="0"/>
        <v>790.24758113424639</v>
      </c>
      <c r="G12" s="8">
        <f t="shared" si="0"/>
        <v>2285.5537841914561</v>
      </c>
      <c r="H12" s="8">
        <f t="shared" si="0"/>
        <v>146.11856252040991</v>
      </c>
      <c r="I12" s="8">
        <f t="shared" si="0"/>
        <v>48.818672928297062</v>
      </c>
      <c r="J12" s="8">
        <f t="shared" si="0"/>
        <v>884.58535462702332</v>
      </c>
      <c r="K12" s="8">
        <f t="shared" si="0"/>
        <v>730.10537577557625</v>
      </c>
      <c r="L12" s="8">
        <f t="shared" si="0"/>
        <v>323.69554791857803</v>
      </c>
      <c r="M12" s="8">
        <f t="shared" si="0"/>
        <v>390.28691744289114</v>
      </c>
      <c r="N12" s="8">
        <f t="shared" si="0"/>
        <v>0.56242710746886015</v>
      </c>
      <c r="O12" s="9">
        <v>12056</v>
      </c>
      <c r="P12" s="9">
        <f t="shared" si="2"/>
        <v>14606.999999999996</v>
      </c>
      <c r="R12"/>
      <c r="S12"/>
    </row>
    <row r="13" spans="2:30" ht="23.1" customHeight="1" x14ac:dyDescent="0.25">
      <c r="B13" s="6" t="s">
        <v>17</v>
      </c>
      <c r="C13" s="6">
        <v>1782</v>
      </c>
      <c r="D13" s="8">
        <f t="shared" si="1"/>
        <v>5928.0026964405097</v>
      </c>
      <c r="E13" s="8">
        <f t="shared" si="0"/>
        <v>917.33385790038392</v>
      </c>
      <c r="F13" s="8">
        <f t="shared" si="0"/>
        <v>837.90103099196017</v>
      </c>
      <c r="G13" s="8">
        <f t="shared" si="0"/>
        <v>2423.3770755905261</v>
      </c>
      <c r="H13" s="8">
        <f t="shared" si="0"/>
        <v>154.92979302408756</v>
      </c>
      <c r="I13" s="8">
        <f t="shared" si="0"/>
        <v>51.762532850234024</v>
      </c>
      <c r="J13" s="8">
        <f t="shared" si="0"/>
        <v>937.92755376553077</v>
      </c>
      <c r="K13" s="8">
        <f t="shared" si="0"/>
        <v>774.13213491532781</v>
      </c>
      <c r="L13" s="8">
        <f t="shared" si="0"/>
        <v>343.21501236257325</v>
      </c>
      <c r="M13" s="8">
        <f t="shared" si="0"/>
        <v>413.82196961450541</v>
      </c>
      <c r="N13" s="8">
        <f t="shared" si="0"/>
        <v>0.59634254435753487</v>
      </c>
      <c r="O13" s="9">
        <v>12783</v>
      </c>
      <c r="P13" s="9">
        <f t="shared" si="2"/>
        <v>14564.999999999996</v>
      </c>
      <c r="R13"/>
      <c r="S13"/>
      <c r="AB13" s="27">
        <f>AVERAGE(O10:O13)</f>
        <v>12257.25</v>
      </c>
      <c r="AC13" s="27">
        <f>AVERAGE(P10:P13)</f>
        <v>14419.749999999996</v>
      </c>
    </row>
    <row r="14" spans="2:30" ht="23.1" customHeight="1" x14ac:dyDescent="0.25">
      <c r="B14" s="6" t="s">
        <v>18</v>
      </c>
      <c r="C14" s="30">
        <f>AVERAGE(C10:C13)</f>
        <v>2162.5</v>
      </c>
      <c r="D14" s="8">
        <f t="shared" si="1"/>
        <v>6223.0026378635612</v>
      </c>
      <c r="E14" s="8">
        <f t="shared" si="0"/>
        <v>962.98387666783242</v>
      </c>
      <c r="F14" s="8">
        <f t="shared" si="0"/>
        <v>879.59817043647536</v>
      </c>
      <c r="G14" s="8">
        <f t="shared" si="0"/>
        <v>2543.9735280473428</v>
      </c>
      <c r="H14" s="8">
        <f t="shared" si="0"/>
        <v>162.63968828007901</v>
      </c>
      <c r="I14" s="8">
        <f t="shared" si="0"/>
        <v>54.338433189803148</v>
      </c>
      <c r="J14" s="8">
        <f t="shared" si="0"/>
        <v>984.60239309818417</v>
      </c>
      <c r="K14" s="8">
        <f t="shared" si="0"/>
        <v>812.65589176025094</v>
      </c>
      <c r="L14" s="8">
        <f t="shared" si="0"/>
        <v>360.29469564329543</v>
      </c>
      <c r="M14" s="8">
        <f t="shared" si="0"/>
        <v>434.41532340450158</v>
      </c>
      <c r="N14" s="8">
        <f t="shared" si="0"/>
        <v>0.62601881555072747</v>
      </c>
      <c r="O14" s="9">
        <f>AB14*AB13</f>
        <v>13419.130657206881</v>
      </c>
      <c r="P14" s="9">
        <f t="shared" si="2"/>
        <v>15581.630657206875</v>
      </c>
      <c r="R14"/>
      <c r="S14"/>
      <c r="AB14" s="28">
        <v>1.0947912996150753</v>
      </c>
      <c r="AC14" s="28">
        <v>1.0799209524241002</v>
      </c>
    </row>
    <row r="15" spans="2:30" ht="23.1" customHeight="1" x14ac:dyDescent="0.25">
      <c r="B15" s="6" t="s">
        <v>19</v>
      </c>
      <c r="C15" s="30">
        <f>AVERAGE(C11:C14)</f>
        <v>2091.875</v>
      </c>
      <c r="D15" s="8">
        <f t="shared" si="1"/>
        <v>6287.3586296869134</v>
      </c>
      <c r="E15" s="8">
        <f t="shared" si="0"/>
        <v>972.94269977932822</v>
      </c>
      <c r="F15" s="8">
        <f t="shared" si="0"/>
        <v>888.69464941272088</v>
      </c>
      <c r="G15" s="8">
        <f t="shared" si="0"/>
        <v>2570.2823614348936</v>
      </c>
      <c r="H15" s="8">
        <f t="shared" si="0"/>
        <v>164.32164778712155</v>
      </c>
      <c r="I15" s="8">
        <f t="shared" si="0"/>
        <v>54.900381169831213</v>
      </c>
      <c r="J15" s="8">
        <f t="shared" si="0"/>
        <v>994.78478691141163</v>
      </c>
      <c r="K15" s="8">
        <f t="shared" si="0"/>
        <v>821.06007844773683</v>
      </c>
      <c r="L15" s="8">
        <f t="shared" si="0"/>
        <v>364.02073013759826</v>
      </c>
      <c r="M15" s="8">
        <f t="shared" si="0"/>
        <v>438.90788601902705</v>
      </c>
      <c r="N15" s="8">
        <f t="shared" si="0"/>
        <v>0.63249287062017534</v>
      </c>
      <c r="O15" s="9">
        <f>AB15*AB13</f>
        <v>13557.906343657207</v>
      </c>
      <c r="P15" s="9">
        <f t="shared" si="2"/>
        <v>15649.781343657203</v>
      </c>
      <c r="R15"/>
      <c r="S15"/>
      <c r="AB15" s="28">
        <v>1.1061132263482598</v>
      </c>
      <c r="AC15" s="28">
        <v>1.1058462138629412</v>
      </c>
    </row>
    <row r="16" spans="2:30" ht="23.1" customHeight="1" x14ac:dyDescent="0.25">
      <c r="B16" s="6" t="s">
        <v>22</v>
      </c>
      <c r="C16" s="6">
        <v>3417</v>
      </c>
      <c r="D16" s="8">
        <f t="shared" si="1"/>
        <v>6250.3027726375021</v>
      </c>
      <c r="E16" s="8">
        <f t="shared" si="0"/>
        <v>967.20845942121366</v>
      </c>
      <c r="F16" s="8">
        <f t="shared" si="0"/>
        <v>883.45694247904555</v>
      </c>
      <c r="G16" s="8">
        <f t="shared" si="0"/>
        <v>2555.1338672306274</v>
      </c>
      <c r="H16" s="8">
        <f t="shared" si="0"/>
        <v>163.35318394576018</v>
      </c>
      <c r="I16" s="8">
        <f t="shared" si="0"/>
        <v>54.576814343695077</v>
      </c>
      <c r="J16" s="8">
        <f t="shared" si="0"/>
        <v>988.92181566547947</v>
      </c>
      <c r="K16" s="8">
        <f t="shared" si="0"/>
        <v>816.22098993888665</v>
      </c>
      <c r="L16" s="8">
        <f t="shared" si="0"/>
        <v>361.87529817904738</v>
      </c>
      <c r="M16" s="8">
        <f t="shared" si="0"/>
        <v>436.32109101653003</v>
      </c>
      <c r="N16" s="8">
        <f t="shared" si="0"/>
        <v>0.62876514220846869</v>
      </c>
      <c r="O16" s="9">
        <v>13478</v>
      </c>
      <c r="P16" s="9">
        <f t="shared" si="2"/>
        <v>16894.999999999996</v>
      </c>
      <c r="R16"/>
      <c r="S16"/>
      <c r="AB16" s="28">
        <v>0.99264983115553918</v>
      </c>
      <c r="AC16" s="28">
        <v>1.0164478228589178</v>
      </c>
    </row>
    <row r="17" spans="2:19" ht="37.5" customHeight="1" x14ac:dyDescent="0.25">
      <c r="B17" s="16" t="s">
        <v>23</v>
      </c>
      <c r="C17" s="11">
        <f>AVERAGE(C10:C16)</f>
        <v>2331.625</v>
      </c>
      <c r="D17" s="11">
        <f t="shared" ref="D17:N17" si="3">AVERAGE(D10:D16)</f>
        <v>5928.2038938937267</v>
      </c>
      <c r="E17" s="11">
        <f t="shared" si="3"/>
        <v>917.36499237271994</v>
      </c>
      <c r="F17" s="11">
        <f t="shared" si="3"/>
        <v>837.92946950019257</v>
      </c>
      <c r="G17" s="11">
        <f t="shared" si="3"/>
        <v>2423.4593254343204</v>
      </c>
      <c r="H17" s="11">
        <f t="shared" si="3"/>
        <v>154.93505136848788</v>
      </c>
      <c r="I17" s="11">
        <f t="shared" si="3"/>
        <v>51.764289679694961</v>
      </c>
      <c r="J17" s="11">
        <f t="shared" si="3"/>
        <v>937.95938719152332</v>
      </c>
      <c r="K17" s="11">
        <f t="shared" si="3"/>
        <v>774.15840909602139</v>
      </c>
      <c r="L17" s="11">
        <f t="shared" si="3"/>
        <v>343.22666114040447</v>
      </c>
      <c r="M17" s="11">
        <f t="shared" si="3"/>
        <v>413.83601480487312</v>
      </c>
      <c r="N17" s="11">
        <f t="shared" si="3"/>
        <v>0.59636278432828294</v>
      </c>
      <c r="O17" s="12">
        <f>AVERAGE(O10:O16)</f>
        <v>12783.433857266298</v>
      </c>
      <c r="P17" s="12">
        <f>AVERAGE(P10:P16)</f>
        <v>15115.058857266295</v>
      </c>
      <c r="R17"/>
      <c r="S17"/>
    </row>
    <row r="18" spans="2:19" ht="23.1" customHeight="1" x14ac:dyDescent="0.25">
      <c r="B18" s="18" t="s">
        <v>11</v>
      </c>
      <c r="C18" s="17">
        <f>C$17/P$17</f>
        <v>0.15425841354756703</v>
      </c>
      <c r="D18" s="17">
        <f>D17/$P$17</f>
        <v>0.39220514785120064</v>
      </c>
      <c r="E18" s="17">
        <f>E17/$P$17</f>
        <v>6.0692121746632376E-2</v>
      </c>
      <c r="F18" s="17">
        <f t="shared" ref="F18:N18" si="4">F17/$P$17</f>
        <v>5.543673216312836E-2</v>
      </c>
      <c r="G18" s="17">
        <f t="shared" si="4"/>
        <v>0.16033409782385899</v>
      </c>
      <c r="H18" s="17">
        <f t="shared" si="4"/>
        <v>1.0250376980437997E-2</v>
      </c>
      <c r="I18" s="17">
        <f t="shared" si="4"/>
        <v>3.4246833021632731E-3</v>
      </c>
      <c r="J18" s="17">
        <f t="shared" si="4"/>
        <v>6.205463015717045E-2</v>
      </c>
      <c r="K18" s="17">
        <f t="shared" si="4"/>
        <v>5.1217690675670675E-2</v>
      </c>
      <c r="L18" s="17">
        <f t="shared" si="4"/>
        <v>2.2707596733928984E-2</v>
      </c>
      <c r="M18" s="17">
        <f t="shared" si="4"/>
        <v>2.7379054141488099E-2</v>
      </c>
      <c r="N18" s="17">
        <f t="shared" si="4"/>
        <v>3.9454876753033095E-5</v>
      </c>
      <c r="O18" s="12">
        <f>SUM(O10:O16)</f>
        <v>89484.037000864089</v>
      </c>
      <c r="P18" s="12">
        <f>SUM(P10:P16)</f>
        <v>105805.41200086406</v>
      </c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5">D$17/$O$17</f>
        <v>0.46374111683020486</v>
      </c>
      <c r="E19" s="17">
        <f t="shared" si="5"/>
        <v>7.1762016576733464E-2</v>
      </c>
      <c r="F19" s="17">
        <f t="shared" si="5"/>
        <v>6.5548074082137225E-2</v>
      </c>
      <c r="G19" s="17">
        <f t="shared" si="5"/>
        <v>0.18957811746777173</v>
      </c>
      <c r="H19" s="17">
        <f t="shared" si="5"/>
        <v>1.2119986937658415E-2</v>
      </c>
      <c r="I19" s="17">
        <f t="shared" si="5"/>
        <v>4.0493258898720201E-3</v>
      </c>
      <c r="J19" s="17">
        <f t="shared" si="5"/>
        <v>7.3373038704962118E-2</v>
      </c>
      <c r="K19" s="17">
        <f t="shared" si="5"/>
        <v>6.0559503631019924E-2</v>
      </c>
      <c r="L19" s="17">
        <f t="shared" si="5"/>
        <v>2.6849332110034676E-2</v>
      </c>
      <c r="M19" s="17">
        <f t="shared" si="5"/>
        <v>3.2372836549675772E-2</v>
      </c>
      <c r="N19" s="17">
        <f t="shared" si="5"/>
        <v>4.6651219929401152E-5</v>
      </c>
      <c r="O19" s="12"/>
      <c r="P19" s="12"/>
      <c r="R19"/>
      <c r="S19"/>
    </row>
    <row r="20" spans="2:19" ht="23.1" customHeight="1" x14ac:dyDescent="0.25">
      <c r="D20" s="24">
        <v>0.46374111683020497</v>
      </c>
      <c r="E20" s="24">
        <v>7.1762016576733464E-2</v>
      </c>
      <c r="F20" s="25">
        <v>6.5548074082137225E-2</v>
      </c>
      <c r="G20" s="25">
        <v>0.18957811746777173</v>
      </c>
      <c r="H20" s="25">
        <v>1.2119986937658419E-2</v>
      </c>
      <c r="I20" s="25">
        <v>4.0493258898720193E-3</v>
      </c>
      <c r="J20" s="25">
        <v>7.3373038704962118E-2</v>
      </c>
      <c r="K20" s="25">
        <v>6.0559503631019931E-2</v>
      </c>
      <c r="L20" s="25">
        <v>2.6849332110034676E-2</v>
      </c>
      <c r="M20" s="25">
        <v>3.2372836549675772E-2</v>
      </c>
      <c r="N20" s="25">
        <v>4.6651219929401145E-5</v>
      </c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D6:E6"/>
    <mergeCell ref="G6:H6"/>
    <mergeCell ref="K6:L6"/>
    <mergeCell ref="C8:P8"/>
    <mergeCell ref="C3:F3"/>
    <mergeCell ref="B1:P1"/>
    <mergeCell ref="B2:P2"/>
    <mergeCell ref="D5:E5"/>
    <mergeCell ref="G5:H5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D151"/>
  <sheetViews>
    <sheetView tabSelected="1" view="pageBreakPreview" topLeftCell="A13" zoomScale="55" zoomScaleSheetLayoutView="55" workbookViewId="0">
      <selection activeCell="R17" sqref="R17"/>
    </sheetView>
  </sheetViews>
  <sheetFormatPr defaultColWidth="15" defaultRowHeight="20.100000000000001" customHeight="1" x14ac:dyDescent="0.25"/>
  <cols>
    <col min="1" max="1" width="4.85546875" customWidth="1"/>
    <col min="2" max="2" width="19.570312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5.7109375" customWidth="1"/>
    <col min="10" max="10" width="18.42578125" customWidth="1"/>
    <col min="11" max="11" width="20.42578125" customWidth="1"/>
    <col min="12" max="12" width="19.28515625" customWidth="1"/>
    <col min="13" max="13" width="14.5703125" customWidth="1"/>
    <col min="14" max="14" width="16.28515625" customWidth="1"/>
    <col min="15" max="15" width="14.85546875" customWidth="1"/>
    <col min="16" max="16" width="14.28515625" customWidth="1"/>
    <col min="17" max="17" width="14.7109375" customWidth="1"/>
    <col min="18" max="19" width="10.7109375" style="2" customWidth="1"/>
    <col min="20" max="32" width="10.7109375" customWidth="1"/>
  </cols>
  <sheetData>
    <row r="1" spans="2:30" ht="23.25" customHeight="1" x14ac:dyDescent="0.3">
      <c r="B1" s="31" t="s">
        <v>0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</row>
    <row r="2" spans="2:30" ht="20.100000000000001" customHeight="1" x14ac:dyDescent="0.25">
      <c r="B2" s="32" t="s">
        <v>25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2:30" ht="20.100000000000001" customHeight="1" x14ac:dyDescent="0.25">
      <c r="B3" s="1" t="s">
        <v>1</v>
      </c>
      <c r="C3" s="35" t="s">
        <v>31</v>
      </c>
      <c r="D3" s="35"/>
      <c r="E3" s="35"/>
      <c r="F3" s="35"/>
      <c r="G3" s="15"/>
      <c r="H3" s="15"/>
      <c r="I3" s="15"/>
      <c r="J3" s="15"/>
      <c r="K3" s="1"/>
      <c r="L3" s="1"/>
      <c r="M3" s="1"/>
      <c r="N3" s="1"/>
      <c r="O3" s="1"/>
      <c r="P3" s="1"/>
    </row>
    <row r="4" spans="2:30" ht="20.100000000000001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2:30" ht="20.100000000000001" customHeight="1" x14ac:dyDescent="0.25">
      <c r="C5" s="3" t="s">
        <v>2</v>
      </c>
      <c r="D5" s="34" t="s">
        <v>28</v>
      </c>
      <c r="E5" s="34"/>
      <c r="F5" s="4" t="s">
        <v>3</v>
      </c>
      <c r="G5" s="36"/>
      <c r="H5" s="37"/>
      <c r="I5" s="5"/>
      <c r="J5" s="3" t="s">
        <v>4</v>
      </c>
      <c r="K5" s="36" t="s">
        <v>14</v>
      </c>
      <c r="L5" s="37"/>
      <c r="M5" s="2"/>
      <c r="N5" s="2"/>
    </row>
    <row r="6" spans="2:30" ht="23.25" customHeight="1" x14ac:dyDescent="0.25">
      <c r="C6" s="3" t="s">
        <v>5</v>
      </c>
      <c r="D6" s="38" t="s">
        <v>29</v>
      </c>
      <c r="E6" s="39"/>
      <c r="F6" s="3" t="s">
        <v>6</v>
      </c>
      <c r="G6" s="38" t="s">
        <v>27</v>
      </c>
      <c r="H6" s="39"/>
      <c r="J6" s="3" t="s">
        <v>7</v>
      </c>
      <c r="K6" s="38" t="s">
        <v>13</v>
      </c>
      <c r="L6" s="39"/>
      <c r="M6" s="2"/>
      <c r="N6" s="2"/>
    </row>
    <row r="7" spans="2:30" ht="20.100000000000001" customHeight="1" x14ac:dyDescent="0.25">
      <c r="D7" s="2"/>
      <c r="E7" s="2"/>
      <c r="R7"/>
      <c r="S7"/>
    </row>
    <row r="8" spans="2:30" ht="50.25" customHeight="1" x14ac:dyDescent="0.25">
      <c r="C8" s="33" t="s">
        <v>26</v>
      </c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R8"/>
      <c r="S8"/>
    </row>
    <row r="9" spans="2:30" ht="50.25" customHeight="1" x14ac:dyDescent="0.25">
      <c r="B9" s="14" t="s">
        <v>8</v>
      </c>
      <c r="C9" s="26" t="s">
        <v>15</v>
      </c>
      <c r="D9" s="26" t="s">
        <v>32</v>
      </c>
      <c r="E9" s="26" t="s">
        <v>33</v>
      </c>
      <c r="F9" s="26" t="s">
        <v>34</v>
      </c>
      <c r="G9" s="26" t="s">
        <v>43</v>
      </c>
      <c r="H9" s="26" t="s">
        <v>36</v>
      </c>
      <c r="I9" s="26" t="s">
        <v>37</v>
      </c>
      <c r="J9" s="26" t="s">
        <v>38</v>
      </c>
      <c r="K9" s="26" t="s">
        <v>39</v>
      </c>
      <c r="L9" s="26" t="s">
        <v>40</v>
      </c>
      <c r="M9" s="26" t="s">
        <v>41</v>
      </c>
      <c r="N9" s="26" t="s">
        <v>42</v>
      </c>
      <c r="O9" s="7" t="s">
        <v>10</v>
      </c>
      <c r="P9" s="7" t="s">
        <v>24</v>
      </c>
      <c r="R9"/>
      <c r="S9"/>
    </row>
    <row r="10" spans="2:30" ht="23.1" customHeight="1" x14ac:dyDescent="0.25">
      <c r="B10" s="6" t="s">
        <v>16</v>
      </c>
      <c r="C10" s="8">
        <f>'29-04-KISAASI RBT-NALYA RBT'!C10+'29-04-NALYA RBT-KISAASI RBT'!C10</f>
        <v>5538</v>
      </c>
      <c r="D10" s="8">
        <f>'29-04-KISAASI RBT-NALYA RBT'!D10+'29-04-NALYA RBT-KISAASI RBT'!D10</f>
        <v>13013.503220489212</v>
      </c>
      <c r="E10" s="8">
        <f>'29-04-KISAASI RBT-NALYA RBT'!E10+'29-04-NALYA RBT-KISAASI RBT'!E10</f>
        <v>2013.7857091762944</v>
      </c>
      <c r="F10" s="8">
        <f>'29-04-KISAASI RBT-NALYA RBT'!F10+'29-04-NALYA RBT-KISAASI RBT'!F10</f>
        <v>1839.4100548929348</v>
      </c>
      <c r="G10" s="8">
        <f>'29-04-KISAASI RBT-NALYA RBT'!G10+'29-04-NALYA RBT-KISAASI RBT'!G10</f>
        <v>5319.9411323806098</v>
      </c>
      <c r="H10" s="8">
        <f>'29-04-KISAASI RBT-NALYA RBT'!H10+'29-04-NALYA RBT-KISAASI RBT'!H10</f>
        <v>340.11107344457054</v>
      </c>
      <c r="I10" s="8">
        <f>'29-04-KISAASI RBT-NALYA RBT'!I10+'29-04-NALYA RBT-KISAASI RBT'!I10</f>
        <v>113.63218312158861</v>
      </c>
      <c r="J10" s="8">
        <f>'29-04-KISAASI RBT-NALYA RBT'!J10+'29-04-NALYA RBT-KISAASI RBT'!J10</f>
        <v>2058.9942121386471</v>
      </c>
      <c r="K10" s="8">
        <f>'29-04-KISAASI RBT-NALYA RBT'!K10+'29-04-NALYA RBT-KISAASI RBT'!K10</f>
        <v>1699.4207908936812</v>
      </c>
      <c r="L10" s="8">
        <f>'29-04-KISAASI RBT-NALYA RBT'!L10+'29-04-NALYA RBT-KISAASI RBT'!L10</f>
        <v>753.44595767179317</v>
      </c>
      <c r="M10" s="8">
        <f>'29-04-KISAASI RBT-NALYA RBT'!M10+'29-04-NALYA RBT-KISAASI RBT'!M10</f>
        <v>908.44653925700152</v>
      </c>
      <c r="N10" s="8">
        <f>'29-04-KISAASI RBT-NALYA RBT'!N10+'29-04-NALYA RBT-KISAASI RBT'!N10</f>
        <v>1.3091265336588549</v>
      </c>
      <c r="O10" s="9">
        <f t="shared" ref="O10:O16" si="0">SUM(D10:N10)</f>
        <v>28061.999999999996</v>
      </c>
      <c r="P10" s="9">
        <f t="shared" ref="P10:P16" si="1">SUM(C10:N10)</f>
        <v>33599.999999999985</v>
      </c>
      <c r="R10"/>
      <c r="S10"/>
    </row>
    <row r="11" spans="2:30" s="10" customFormat="1" ht="23.1" customHeight="1" x14ac:dyDescent="0.25">
      <c r="B11" s="6" t="s">
        <v>20</v>
      </c>
      <c r="C11" s="8">
        <f>'29-04-KISAASI RBT-NALYA RBT'!C11+'29-04-NALYA RBT-KISAASI RBT'!C11</f>
        <v>4420</v>
      </c>
      <c r="D11" s="8">
        <f>'29-04-KISAASI RBT-NALYA RBT'!D11+'29-04-NALYA RBT-KISAASI RBT'!D11</f>
        <v>10257.026022050473</v>
      </c>
      <c r="E11" s="8">
        <f>'29-04-KISAASI RBT-NALYA RBT'!E11+'29-04-NALYA RBT-KISAASI RBT'!E11</f>
        <v>1587.2322826441909</v>
      </c>
      <c r="F11" s="8">
        <f>'29-04-KISAASI RBT-NALYA RBT'!F11+'29-04-NALYA RBT-KISAASI RBT'!F11</f>
        <v>1449.7923025487112</v>
      </c>
      <c r="G11" s="8">
        <f>'29-04-KISAASI RBT-NALYA RBT'!G11+'29-04-NALYA RBT-KISAASI RBT'!G11</f>
        <v>4193.088802152175</v>
      </c>
      <c r="H11" s="8">
        <f>'29-04-KISAASI RBT-NALYA RBT'!H11+'29-04-NALYA RBT-KISAASI RBT'!H11</f>
        <v>268.06987108712894</v>
      </c>
      <c r="I11" s="8">
        <f>'29-04-KISAASI RBT-NALYA RBT'!I11+'29-04-NALYA RBT-KISAASI RBT'!I11</f>
        <v>89.562990032189333</v>
      </c>
      <c r="J11" s="8">
        <f>'29-04-KISAASI RBT-NALYA RBT'!J11+'29-04-NALYA RBT-KISAASI RBT'!J11</f>
        <v>1622.864870076352</v>
      </c>
      <c r="K11" s="8">
        <f>'29-04-KISAASI RBT-NALYA RBT'!K11+'29-04-NALYA RBT-KISAASI RBT'!K11</f>
        <v>1339.455101310899</v>
      </c>
      <c r="L11" s="8">
        <f>'29-04-KISAASI RBT-NALYA RBT'!L11+'29-04-NALYA RBT-KISAASI RBT'!L11</f>
        <v>593.85352760974706</v>
      </c>
      <c r="M11" s="8">
        <f>'29-04-KISAASI RBT-NALYA RBT'!M11+'29-04-NALYA RBT-KISAASI RBT'!M11</f>
        <v>716.0223988057287</v>
      </c>
      <c r="N11" s="8">
        <f>'29-04-KISAASI RBT-NALYA RBT'!N11+'29-04-NALYA RBT-KISAASI RBT'!N11</f>
        <v>1.0318316823984945</v>
      </c>
      <c r="O11" s="9">
        <f t="shared" si="0"/>
        <v>22117.999999999993</v>
      </c>
      <c r="P11" s="9">
        <f t="shared" si="1"/>
        <v>26537.999999999993</v>
      </c>
    </row>
    <row r="12" spans="2:30" ht="23.1" customHeight="1" x14ac:dyDescent="0.25">
      <c r="B12" s="6" t="s">
        <v>21</v>
      </c>
      <c r="C12" s="8">
        <f>'29-04-KISAASI RBT-NALYA RBT'!C12+'29-04-NALYA RBT-KISAASI RBT'!C12</f>
        <v>5603</v>
      </c>
      <c r="D12" s="8">
        <f>'29-04-KISAASI RBT-NALYA RBT'!D12+'29-04-NALYA RBT-KISAASI RBT'!D12</f>
        <v>11511.909484193009</v>
      </c>
      <c r="E12" s="8">
        <f>'29-04-KISAASI RBT-NALYA RBT'!E12+'29-04-NALYA RBT-KISAASI RBT'!E12</f>
        <v>1781.4202995008316</v>
      </c>
      <c r="F12" s="8">
        <f>'29-04-KISAASI RBT-NALYA RBT'!F12+'29-04-NALYA RBT-KISAASI RBT'!F12</f>
        <v>1627.1653910149744</v>
      </c>
      <c r="G12" s="8">
        <f>'29-04-KISAASI RBT-NALYA RBT'!G12+'29-04-NALYA RBT-KISAASI RBT'!G12</f>
        <v>4706.0871880199657</v>
      </c>
      <c r="H12" s="8">
        <f>'29-04-KISAASI RBT-NALYA RBT'!H12+'29-04-NALYA RBT-KISAASI RBT'!H12</f>
        <v>300.8665557404326</v>
      </c>
      <c r="I12" s="8">
        <f>'29-04-KISAASI RBT-NALYA RBT'!I12+'29-04-NALYA RBT-KISAASI RBT'!I12</f>
        <v>100.520465890183</v>
      </c>
      <c r="J12" s="8">
        <f>'29-04-KISAASI RBT-NALYA RBT'!J12+'29-04-NALYA RBT-KISAASI RBT'!J12</f>
        <v>1821.4123128119795</v>
      </c>
      <c r="K12" s="8">
        <f>'29-04-KISAASI RBT-NALYA RBT'!K12+'29-04-NALYA RBT-KISAASI RBT'!K12</f>
        <v>1503.3291181364389</v>
      </c>
      <c r="L12" s="8">
        <f>'29-04-KISAASI RBT-NALYA RBT'!L12+'29-04-NALYA RBT-KISAASI RBT'!L12</f>
        <v>666.50782029950074</v>
      </c>
      <c r="M12" s="8">
        <f>'29-04-KISAASI RBT-NALYA RBT'!M12+'29-04-NALYA RBT-KISAASI RBT'!M12</f>
        <v>803.62329450915138</v>
      </c>
      <c r="N12" s="8">
        <f>'29-04-KISAASI RBT-NALYA RBT'!N12+'29-04-NALYA RBT-KISAASI RBT'!N12</f>
        <v>1.1580698835274541</v>
      </c>
      <c r="O12" s="9">
        <f t="shared" si="0"/>
        <v>24823.999999999989</v>
      </c>
      <c r="P12" s="9">
        <f t="shared" si="1"/>
        <v>30426.999999999989</v>
      </c>
      <c r="R12"/>
      <c r="S12"/>
    </row>
    <row r="13" spans="2:30" ht="23.1" customHeight="1" x14ac:dyDescent="0.25">
      <c r="B13" s="6" t="s">
        <v>17</v>
      </c>
      <c r="C13" s="8">
        <f>'29-04-KISAASI RBT-NALYA RBT'!C13+'29-04-NALYA RBT-KISAASI RBT'!C13</f>
        <v>4841</v>
      </c>
      <c r="D13" s="8">
        <f>'29-04-KISAASI RBT-NALYA RBT'!D13+'29-04-NALYA RBT-KISAASI RBT'!D13</f>
        <v>12256.677717822316</v>
      </c>
      <c r="E13" s="8">
        <f>'29-04-KISAASI RBT-NALYA RBT'!E13+'29-04-NALYA RBT-KISAASI RBT'!E13</f>
        <v>1896.6700981230656</v>
      </c>
      <c r="F13" s="8">
        <f>'29-04-KISAASI RBT-NALYA RBT'!F13+'29-04-NALYA RBT-KISAASI RBT'!F13</f>
        <v>1732.4355979908869</v>
      </c>
      <c r="G13" s="8">
        <f>'29-04-KISAASI RBT-NALYA RBT'!G13+'29-04-NALYA RBT-KISAASI RBT'!G13</f>
        <v>5010.5496446732068</v>
      </c>
      <c r="H13" s="8">
        <f>'29-04-KISAASI RBT-NALYA RBT'!H13+'29-04-NALYA RBT-KISAASI RBT'!H13</f>
        <v>320.33125476231203</v>
      </c>
      <c r="I13" s="8">
        <f>'29-04-KISAASI RBT-NALYA RBT'!I13+'29-04-NALYA RBT-KISAASI RBT'!I13</f>
        <v>107.02368326931747</v>
      </c>
      <c r="J13" s="8">
        <f>'29-04-KISAASI RBT-NALYA RBT'!J13+'29-04-NALYA RBT-KISAASI RBT'!J13</f>
        <v>1939.2494129721488</v>
      </c>
      <c r="K13" s="8">
        <f>'29-04-KISAASI RBT-NALYA RBT'!K13+'29-04-NALYA RBT-KISAASI RBT'!K13</f>
        <v>1600.5876809678568</v>
      </c>
      <c r="L13" s="8">
        <f>'29-04-KISAASI RBT-NALYA RBT'!L13+'29-04-NALYA RBT-KISAASI RBT'!L13</f>
        <v>709.62784766821642</v>
      </c>
      <c r="M13" s="8">
        <f>'29-04-KISAASI RBT-NALYA RBT'!M13+'29-04-NALYA RBT-KISAASI RBT'!M13</f>
        <v>855.61407000793065</v>
      </c>
      <c r="N13" s="8">
        <f>'29-04-KISAASI RBT-NALYA RBT'!N13+'29-04-NALYA RBT-KISAASI RBT'!N13</f>
        <v>1.2329917427340722</v>
      </c>
      <c r="O13" s="9">
        <f t="shared" si="0"/>
        <v>26429.999999999993</v>
      </c>
      <c r="P13" s="9">
        <f t="shared" si="1"/>
        <v>31270.999999999993</v>
      </c>
      <c r="R13"/>
      <c r="S13"/>
      <c r="AB13" s="27">
        <f>AVERAGE(O10:O13)</f>
        <v>25358.499999999993</v>
      </c>
      <c r="AC13" s="27">
        <f>AVERAGE(P10:P13)</f>
        <v>30458.999999999993</v>
      </c>
    </row>
    <row r="14" spans="2:30" ht="23.1" customHeight="1" x14ac:dyDescent="0.25">
      <c r="B14" s="6" t="s">
        <v>18</v>
      </c>
      <c r="C14" s="8">
        <f>'29-04-KISAASI RBT-NALYA RBT'!C14+'29-04-NALYA RBT-KISAASI RBT'!C14</f>
        <v>5378.9968382690913</v>
      </c>
      <c r="D14" s="8">
        <f>'29-04-KISAASI RBT-NALYA RBT'!D14+'29-04-NALYA RBT-KISAASI RBT'!D14</f>
        <v>12874.50385626981</v>
      </c>
      <c r="E14" s="8">
        <f>'29-04-KISAASI RBT-NALYA RBT'!E14+'29-04-NALYA RBT-KISAASI RBT'!E14</f>
        <v>1992.2761334297031</v>
      </c>
      <c r="F14" s="8">
        <f>'29-04-KISAASI RBT-NALYA RBT'!F14+'29-04-NALYA RBT-KISAASI RBT'!F14</f>
        <v>1819.7630141355819</v>
      </c>
      <c r="G14" s="8">
        <f>'29-04-KISAASI RBT-NALYA RBT'!G14+'29-04-NALYA RBT-KISAASI RBT'!G14</f>
        <v>5263.1179678140325</v>
      </c>
      <c r="H14" s="8">
        <f>'29-04-KISAASI RBT-NALYA RBT'!H14+'29-04-NALYA RBT-KISAASI RBT'!H14</f>
        <v>336.47829123583051</v>
      </c>
      <c r="I14" s="8">
        <f>'29-04-KISAASI RBT-NALYA RBT'!I14+'29-04-NALYA RBT-KISAASI RBT'!I14</f>
        <v>112.41845911959234</v>
      </c>
      <c r="J14" s="8">
        <f>'29-04-KISAASI RBT-NALYA RBT'!J14+'29-04-NALYA RBT-KISAASI RBT'!J14</f>
        <v>2037.0017569504012</v>
      </c>
      <c r="K14" s="8">
        <f>'29-04-KISAASI RBT-NALYA RBT'!K14+'29-04-NALYA RBT-KISAASI RBT'!K14</f>
        <v>1681.2689984460076</v>
      </c>
      <c r="L14" s="8">
        <f>'29-04-KISAASI RBT-NALYA RBT'!L14+'29-04-NALYA RBT-KISAASI RBT'!L14</f>
        <v>745.39827771078399</v>
      </c>
      <c r="M14" s="8">
        <f>'29-04-KISAASI RBT-NALYA RBT'!M14+'29-04-NALYA RBT-KISAASI RBT'!M14</f>
        <v>898.74327263889154</v>
      </c>
      <c r="N14" s="8">
        <f>'29-04-KISAASI RBT-NALYA RBT'!N14+'29-04-NALYA RBT-KISAASI RBT'!N14</f>
        <v>1.2951435382441514</v>
      </c>
      <c r="O14" s="9">
        <f t="shared" si="0"/>
        <v>27762.26517128888</v>
      </c>
      <c r="P14" s="9">
        <f t="shared" si="1"/>
        <v>33141.26200955797</v>
      </c>
      <c r="R14"/>
      <c r="S14"/>
      <c r="AB14" s="28">
        <f>AVERAGE('[2]21.01 SENTEMA-MITYANA 2DIR'!AB14,'[3]20-26-BWAISE -HOIMA RBT 2DIR'!AB14,'[4]21-28-KYEBANDO-GAYAZA 2DIR'!AB14,'[5]SENTEMA RBT-HOIMA RBT - 2DIR'!AB14,'[6]29-04-BWEYOGERERE-NALYA  2 DIR'!AB14)</f>
        <v>1.0947912996150753</v>
      </c>
      <c r="AC14" s="28">
        <f>AVERAGE('[2]21.01 SENTEMA-MITYANA 2DIR'!AC14,'[3]20-26-BWAISE -HOIMA RBT 2DIR'!AC14,'[4]21-28-KYEBANDO-GAYAZA 2DIR'!AC14,'[5]SENTEMA RBT-HOIMA RBT - 2DIR'!AC14,'[6]29-04-BWEYOGERERE-NALYA  2 DIR'!AC14)</f>
        <v>1.0799209524241002</v>
      </c>
    </row>
    <row r="15" spans="2:30" ht="23.1" customHeight="1" x14ac:dyDescent="0.25">
      <c r="B15" s="6" t="s">
        <v>19</v>
      </c>
      <c r="C15" s="8">
        <f>'29-04-KISAASI RBT-NALYA RBT'!C15+'29-04-NALYA RBT-KISAASI RBT'!C15</f>
        <v>5375.7860305665963</v>
      </c>
      <c r="D15" s="8">
        <f>'29-04-KISAASI RBT-NALYA RBT'!D15+'29-04-NALYA RBT-KISAASI RBT'!D15</f>
        <v>13007.647213764556</v>
      </c>
      <c r="E15" s="8">
        <f>'29-04-KISAASI RBT-NALYA RBT'!E15+'29-04-NALYA RBT-KISAASI RBT'!E15</f>
        <v>2012.8795163967527</v>
      </c>
      <c r="F15" s="8">
        <f>'29-04-KISAASI RBT-NALYA RBT'!F15+'29-04-NALYA RBT-KISAASI RBT'!F15</f>
        <v>1838.5823302235399</v>
      </c>
      <c r="G15" s="8">
        <f>'29-04-KISAASI RBT-NALYA RBT'!G15+'29-04-NALYA RBT-KISAASI RBT'!G15</f>
        <v>5317.5471873745537</v>
      </c>
      <c r="H15" s="8">
        <f>'29-04-KISAASI RBT-NALYA RBT'!H15+'29-04-NALYA RBT-KISAASI RBT'!H15</f>
        <v>339.95802528378897</v>
      </c>
      <c r="I15" s="8">
        <f>'29-04-KISAASI RBT-NALYA RBT'!I15+'29-04-NALYA RBT-KISAASI RBT'!I15</f>
        <v>113.58104924800953</v>
      </c>
      <c r="J15" s="8">
        <f>'29-04-KISAASI RBT-NALYA RBT'!J15+'29-04-NALYA RBT-KISAASI RBT'!J15</f>
        <v>2058.0676757749929</v>
      </c>
      <c r="K15" s="8">
        <f>'29-04-KISAASI RBT-NALYA RBT'!K15+'29-04-NALYA RBT-KISAASI RBT'!K15</f>
        <v>1698.6560606430426</v>
      </c>
      <c r="L15" s="8">
        <f>'29-04-KISAASI RBT-NALYA RBT'!L15+'29-04-NALYA RBT-KISAASI RBT'!L15</f>
        <v>753.10691102770079</v>
      </c>
      <c r="M15" s="8">
        <f>'29-04-KISAASI RBT-NALYA RBT'!M15+'29-04-NALYA RBT-KISAASI RBT'!M15</f>
        <v>908.03774318166779</v>
      </c>
      <c r="N15" s="8">
        <f>'29-04-KISAASI RBT-NALYA RBT'!N15+'29-04-NALYA RBT-KISAASI RBT'!N15</f>
        <v>1.3085374337328288</v>
      </c>
      <c r="O15" s="9">
        <f t="shared" si="0"/>
        <v>28049.372250352339</v>
      </c>
      <c r="P15" s="9">
        <f t="shared" si="1"/>
        <v>33425.158280918928</v>
      </c>
      <c r="R15"/>
      <c r="S15"/>
      <c r="AB15" s="28">
        <f>AVERAGE('[2]21.01 SENTEMA-MITYANA 2DIR'!AB15,'[3]20-26-BWAISE -HOIMA RBT 2DIR'!AB15,'[4]21-28-KYEBANDO-GAYAZA 2DIR'!AB15,'[5]SENTEMA RBT-HOIMA RBT - 2DIR'!AB15,'[6]29-04-BWEYOGERERE-NALYA  2 DIR'!AB15)</f>
        <v>1.1061132263482598</v>
      </c>
      <c r="AC15" s="28">
        <f>AVERAGE('[2]21.01 SENTEMA-MITYANA 2DIR'!AC15,'[3]20-26-BWAISE -HOIMA RBT 2DIR'!AC15,'[4]21-28-KYEBANDO-GAYAZA 2DIR'!AC15,'[5]SENTEMA RBT-HOIMA RBT - 2DIR'!AC15,'[6]29-04-BWEYOGERERE-NALYA  2 DIR'!AC15)</f>
        <v>1.1058462138629412</v>
      </c>
    </row>
    <row r="16" spans="2:30" ht="23.1" customHeight="1" x14ac:dyDescent="0.25">
      <c r="B16" s="6" t="s">
        <v>22</v>
      </c>
      <c r="C16" s="8">
        <f>'29-04-KISAASI RBT-NALYA RBT'!C16+'29-04-NALYA RBT-KISAASI RBT'!C16</f>
        <v>7359</v>
      </c>
      <c r="D16" s="8">
        <f>'29-04-KISAASI RBT-NALYA RBT'!D16+'29-04-NALYA RBT-KISAASI RBT'!D16</f>
        <v>12602.164849860819</v>
      </c>
      <c r="E16" s="8">
        <f>'29-04-KISAASI RBT-NALYA RBT'!E16+'29-04-NALYA RBT-KISAASI RBT'!E16</f>
        <v>1950.132800472732</v>
      </c>
      <c r="F16" s="8">
        <f>'29-04-KISAASI RBT-NALYA RBT'!F16+'29-04-NALYA RBT-KISAASI RBT'!F16</f>
        <v>1781.2689131820791</v>
      </c>
      <c r="G16" s="8">
        <f>'29-04-KISAASI RBT-NALYA RBT'!G16+'29-04-NALYA RBT-KISAASI RBT'!G16</f>
        <v>5151.7853421866967</v>
      </c>
      <c r="H16" s="8">
        <f>'29-04-KISAASI RBT-NALYA RBT'!H16+'29-04-NALYA RBT-KISAASI RBT'!H16</f>
        <v>329.36064503086754</v>
      </c>
      <c r="I16" s="8">
        <f>'29-04-KISAASI RBT-NALYA RBT'!I16+'29-04-NALYA RBT-KISAASI RBT'!I16</f>
        <v>110.04043105727212</v>
      </c>
      <c r="J16" s="8">
        <f>'29-04-KISAASI RBT-NALYA RBT'!J16+'29-04-NALYA RBT-KISAASI RBT'!J16</f>
        <v>1993.9123268073456</v>
      </c>
      <c r="K16" s="8">
        <f>'29-04-KISAASI RBT-NALYA RBT'!K16+'29-04-NALYA RBT-KISAASI RBT'!K16</f>
        <v>1645.7045111729667</v>
      </c>
      <c r="L16" s="8">
        <f>'29-04-KISAASI RBT-NALYA RBT'!L16+'29-04-NALYA RBT-KISAASI RBT'!L16</f>
        <v>729.63060009019227</v>
      </c>
      <c r="M16" s="8">
        <f>'29-04-KISAASI RBT-NALYA RBT'!M16+'29-04-NALYA RBT-KISAASI RBT'!M16</f>
        <v>879.7318332374391</v>
      </c>
      <c r="N16" s="8">
        <f>'29-04-KISAASI RBT-NALYA RBT'!N16+'29-04-NALYA RBT-KISAASI RBT'!N16</f>
        <v>1.2677469015814762</v>
      </c>
      <c r="O16" s="9">
        <f t="shared" si="0"/>
        <v>27174.999999999993</v>
      </c>
      <c r="P16" s="9">
        <f t="shared" si="1"/>
        <v>34533.999999999993</v>
      </c>
      <c r="R16"/>
      <c r="S16"/>
      <c r="AB16" s="28">
        <f>AVERAGE('[2]21.01 SENTEMA-MITYANA 2DIR'!AB16,'[3]20-26-BWAISE -HOIMA RBT 2DIR'!AB16,'[4]21-28-KYEBANDO-GAYAZA 2DIR'!AB16,'[5]SENTEMA RBT-HOIMA RBT - 2DIR'!AB16,'[6]29-04-BWEYOGERERE-NALYA  2 DIR'!AB16)</f>
        <v>0.99264983115553918</v>
      </c>
      <c r="AC16" s="28">
        <f>AVERAGE('[2]21.01 SENTEMA-MITYANA 2DIR'!AC16,'[3]20-26-BWAISE -HOIMA RBT 2DIR'!AC16,'[4]21-28-KYEBANDO-GAYAZA 2DIR'!AC16,'[5]SENTEMA RBT-HOIMA RBT - 2DIR'!AC16,'[6]29-04-BWEYOGERERE-NALYA  2 DIR'!AC16)</f>
        <v>1.0164478228589178</v>
      </c>
    </row>
    <row r="17" spans="2:19" ht="24.75" customHeight="1" x14ac:dyDescent="0.25">
      <c r="B17" s="16" t="s">
        <v>23</v>
      </c>
      <c r="C17" s="11">
        <f t="shared" ref="C17:P17" si="2">AVERAGE(C10:C16)</f>
        <v>5502.2546955479556</v>
      </c>
      <c r="D17" s="11">
        <f t="shared" si="2"/>
        <v>12217.633194921455</v>
      </c>
      <c r="E17" s="11">
        <f t="shared" si="2"/>
        <v>1890.6281199633672</v>
      </c>
      <c r="F17" s="11">
        <f t="shared" si="2"/>
        <v>1726.9168005698155</v>
      </c>
      <c r="G17" s="11">
        <f t="shared" si="2"/>
        <v>4994.5881806573207</v>
      </c>
      <c r="H17" s="11">
        <f t="shared" si="2"/>
        <v>319.31081665499016</v>
      </c>
      <c r="I17" s="11">
        <f t="shared" si="2"/>
        <v>106.68275167687891</v>
      </c>
      <c r="J17" s="11">
        <f t="shared" si="2"/>
        <v>1933.0717953616954</v>
      </c>
      <c r="K17" s="11">
        <f t="shared" si="2"/>
        <v>1595.4888945101277</v>
      </c>
      <c r="L17" s="11">
        <f t="shared" si="2"/>
        <v>707.36727743970482</v>
      </c>
      <c r="M17" s="11">
        <f t="shared" si="2"/>
        <v>852.888450233973</v>
      </c>
      <c r="N17" s="11">
        <f t="shared" si="2"/>
        <v>1.2290639594110473</v>
      </c>
      <c r="O17" s="12">
        <f t="shared" si="2"/>
        <v>26345.805345948738</v>
      </c>
      <c r="P17" s="12">
        <f t="shared" si="2"/>
        <v>31848.060041496698</v>
      </c>
      <c r="R17"/>
      <c r="S17"/>
    </row>
    <row r="18" spans="2:19" ht="23.1" customHeight="1" x14ac:dyDescent="0.25">
      <c r="B18" s="18" t="s">
        <v>11</v>
      </c>
      <c r="C18" s="17">
        <f>C$17/P$17</f>
        <v>0.1727657724953654</v>
      </c>
      <c r="D18" s="17">
        <f t="shared" ref="D18:N18" si="3">D17/$P$17</f>
        <v>0.38362252454317114</v>
      </c>
      <c r="E18" s="17">
        <f t="shared" si="3"/>
        <v>5.9363996347028908E-2</v>
      </c>
      <c r="F18" s="17">
        <f t="shared" si="3"/>
        <v>5.4223610427753359E-2</v>
      </c>
      <c r="G18" s="17">
        <f t="shared" si="3"/>
        <v>0.15682550755523508</v>
      </c>
      <c r="H18" s="17">
        <f t="shared" si="3"/>
        <v>1.0026068031740127E-2</v>
      </c>
      <c r="I18" s="17">
        <f t="shared" si="3"/>
        <v>3.3497409744227976E-3</v>
      </c>
      <c r="J18" s="17">
        <f t="shared" si="3"/>
        <v>6.0696688992767006E-2</v>
      </c>
      <c r="K18" s="17">
        <f t="shared" si="3"/>
        <v>5.0096894204270902E-2</v>
      </c>
      <c r="L18" s="17">
        <f t="shared" si="3"/>
        <v>2.2210686507059919E-2</v>
      </c>
      <c r="M18" s="17">
        <f t="shared" si="3"/>
        <v>2.6779918435304844E-2</v>
      </c>
      <c r="N18" s="17">
        <f t="shared" si="3"/>
        <v>3.8591485880446978E-5</v>
      </c>
      <c r="O18" s="12">
        <f>SUM(O10:O16)</f>
        <v>184420.63742164118</v>
      </c>
      <c r="P18" s="12">
        <f>SUM(P10:P16)</f>
        <v>222936.42029047688</v>
      </c>
      <c r="R18"/>
      <c r="S18"/>
    </row>
    <row r="19" spans="2:19" ht="23.1" customHeight="1" x14ac:dyDescent="0.25">
      <c r="B19" s="19" t="s">
        <v>12</v>
      </c>
      <c r="C19" s="17"/>
      <c r="D19" s="17">
        <f t="shared" ref="D19:N19" si="4">D$17/$O$17</f>
        <v>0.46374111683020502</v>
      </c>
      <c r="E19" s="17">
        <f t="shared" si="4"/>
        <v>7.1762016576733492E-2</v>
      </c>
      <c r="F19" s="17">
        <f t="shared" si="4"/>
        <v>6.5548074082137253E-2</v>
      </c>
      <c r="G19" s="17">
        <f t="shared" si="4"/>
        <v>0.18957811746777181</v>
      </c>
      <c r="H19" s="17">
        <f t="shared" si="4"/>
        <v>1.2119986937658422E-2</v>
      </c>
      <c r="I19" s="17">
        <f t="shared" si="4"/>
        <v>4.0493258898720201E-3</v>
      </c>
      <c r="J19" s="17">
        <f t="shared" si="4"/>
        <v>7.3373038704962146E-2</v>
      </c>
      <c r="K19" s="17">
        <f t="shared" si="4"/>
        <v>6.0559503631019959E-2</v>
      </c>
      <c r="L19" s="17">
        <f t="shared" si="4"/>
        <v>2.6849332110034683E-2</v>
      </c>
      <c r="M19" s="17">
        <f t="shared" si="4"/>
        <v>3.2372836549675786E-2</v>
      </c>
      <c r="N19" s="17">
        <f t="shared" si="4"/>
        <v>4.6651219929401159E-5</v>
      </c>
      <c r="O19" s="12"/>
      <c r="P19" s="12"/>
      <c r="R19"/>
      <c r="S19"/>
    </row>
    <row r="20" spans="2:19" ht="23.1" customHeight="1" x14ac:dyDescent="0.25">
      <c r="D20" s="2"/>
      <c r="E20" s="2"/>
      <c r="R20"/>
      <c r="S20"/>
    </row>
    <row r="21" spans="2:19" ht="23.1" customHeight="1" x14ac:dyDescent="0.25">
      <c r="D21" s="2"/>
      <c r="E21" s="2"/>
      <c r="R21"/>
      <c r="S21"/>
    </row>
    <row r="22" spans="2:19" ht="23.1" customHeight="1" x14ac:dyDescent="0.25">
      <c r="D22" s="2"/>
      <c r="E22" s="2"/>
      <c r="R22"/>
      <c r="S22"/>
    </row>
    <row r="23" spans="2:19" ht="23.1" customHeight="1" x14ac:dyDescent="0.25">
      <c r="C23" s="2"/>
      <c r="D23" s="2"/>
      <c r="R23"/>
      <c r="S23"/>
    </row>
    <row r="24" spans="2:19" ht="23.1" customHeight="1" x14ac:dyDescent="0.25">
      <c r="C24" s="2"/>
      <c r="D24" s="2"/>
      <c r="R24"/>
      <c r="S24"/>
    </row>
    <row r="25" spans="2:19" ht="23.1" customHeight="1" x14ac:dyDescent="0.25">
      <c r="C25" s="2"/>
      <c r="D25" s="2"/>
      <c r="R25"/>
      <c r="S25"/>
    </row>
    <row r="26" spans="2:19" ht="23.1" customHeight="1" x14ac:dyDescent="0.25">
      <c r="C26" s="2"/>
      <c r="D26" s="2"/>
      <c r="R26"/>
      <c r="S26"/>
    </row>
    <row r="27" spans="2:19" ht="23.1" customHeight="1" x14ac:dyDescent="0.25">
      <c r="C27" s="2"/>
      <c r="D27" s="2"/>
      <c r="R27"/>
      <c r="S27"/>
    </row>
    <row r="28" spans="2:19" ht="23.1" customHeight="1" x14ac:dyDescent="0.25">
      <c r="C28" s="2"/>
      <c r="D28" s="2"/>
      <c r="R28"/>
      <c r="S28"/>
    </row>
    <row r="29" spans="2:19" ht="23.1" customHeight="1" x14ac:dyDescent="0.25">
      <c r="C29" s="2"/>
      <c r="D29" s="2"/>
      <c r="R29"/>
      <c r="S29"/>
    </row>
    <row r="30" spans="2:19" ht="23.1" customHeight="1" x14ac:dyDescent="0.25">
      <c r="C30" s="2"/>
      <c r="D30" s="2"/>
      <c r="R30"/>
      <c r="S30"/>
    </row>
    <row r="31" spans="2:19" ht="23.1" customHeight="1" x14ac:dyDescent="0.25">
      <c r="C31" s="2"/>
      <c r="D31" s="2"/>
      <c r="R31"/>
      <c r="S31"/>
    </row>
    <row r="32" spans="2:19" ht="23.1" customHeight="1" x14ac:dyDescent="0.25">
      <c r="C32" s="2"/>
      <c r="D32" s="2"/>
      <c r="R32"/>
      <c r="S32"/>
    </row>
    <row r="33" spans="3:19" ht="23.1" customHeight="1" x14ac:dyDescent="0.25">
      <c r="C33" s="2"/>
      <c r="D33" s="2"/>
      <c r="R33"/>
      <c r="S33"/>
    </row>
    <row r="34" spans="3:19" ht="23.1" customHeight="1" x14ac:dyDescent="0.25">
      <c r="C34" s="2"/>
      <c r="D34" s="2"/>
      <c r="R34"/>
      <c r="S34"/>
    </row>
    <row r="35" spans="3:19" ht="23.1" customHeight="1" x14ac:dyDescent="0.25">
      <c r="C35" s="2"/>
      <c r="D35" s="2"/>
      <c r="R35"/>
      <c r="S35"/>
    </row>
    <row r="36" spans="3:19" ht="23.1" customHeight="1" x14ac:dyDescent="0.25">
      <c r="C36" s="2"/>
      <c r="D36" s="2"/>
      <c r="R36"/>
      <c r="S36"/>
    </row>
    <row r="37" spans="3:19" ht="23.1" customHeight="1" x14ac:dyDescent="0.25">
      <c r="C37" s="2"/>
      <c r="D37" s="2"/>
      <c r="R37"/>
      <c r="S37"/>
    </row>
    <row r="38" spans="3:19" ht="23.1" customHeight="1" x14ac:dyDescent="0.25">
      <c r="C38" s="2"/>
      <c r="D38" s="2"/>
      <c r="R38"/>
      <c r="S38"/>
    </row>
    <row r="39" spans="3:19" ht="23.1" customHeight="1" x14ac:dyDescent="0.25">
      <c r="C39" s="2"/>
      <c r="D39" s="2"/>
      <c r="R39"/>
      <c r="S39"/>
    </row>
    <row r="40" spans="3:19" ht="23.1" customHeight="1" x14ac:dyDescent="0.25">
      <c r="C40" s="2"/>
      <c r="D40" s="2"/>
      <c r="R40"/>
      <c r="S40"/>
    </row>
    <row r="41" spans="3:19" ht="23.1" customHeight="1" x14ac:dyDescent="0.25">
      <c r="C41" s="2"/>
      <c r="D41" s="2"/>
      <c r="R41"/>
      <c r="S41"/>
    </row>
    <row r="42" spans="3:19" ht="23.1" customHeight="1" x14ac:dyDescent="0.25">
      <c r="C42" s="2"/>
      <c r="D42" s="2"/>
      <c r="R42"/>
      <c r="S42"/>
    </row>
    <row r="43" spans="3:19" ht="23.1" customHeight="1" x14ac:dyDescent="0.25">
      <c r="C43" s="2"/>
      <c r="D43" s="2"/>
      <c r="R43"/>
      <c r="S43"/>
    </row>
    <row r="44" spans="3:19" ht="23.1" customHeight="1" x14ac:dyDescent="0.25">
      <c r="C44" s="2"/>
      <c r="D44" s="2"/>
      <c r="R44"/>
      <c r="S44"/>
    </row>
    <row r="45" spans="3:19" ht="23.1" customHeight="1" x14ac:dyDescent="0.25">
      <c r="C45" s="2"/>
      <c r="D45" s="2"/>
      <c r="R45"/>
      <c r="S45"/>
    </row>
    <row r="46" spans="3:19" ht="23.1" customHeight="1" x14ac:dyDescent="0.25">
      <c r="C46" s="2"/>
      <c r="D46" s="2"/>
      <c r="R46"/>
      <c r="S46"/>
    </row>
    <row r="47" spans="3:19" ht="23.1" customHeight="1" x14ac:dyDescent="0.25">
      <c r="C47" s="2"/>
      <c r="D47" s="2"/>
      <c r="R47"/>
      <c r="S47"/>
    </row>
    <row r="48" spans="3:19" ht="23.1" customHeight="1" x14ac:dyDescent="0.25">
      <c r="C48" s="2"/>
      <c r="D48" s="2"/>
      <c r="R48"/>
      <c r="S48"/>
    </row>
    <row r="49" spans="3:19" ht="23.1" customHeight="1" x14ac:dyDescent="0.25">
      <c r="C49" s="2"/>
      <c r="D49" s="2"/>
      <c r="R49"/>
      <c r="S49"/>
    </row>
    <row r="50" spans="3:19" ht="23.1" customHeight="1" x14ac:dyDescent="0.25">
      <c r="C50" s="2"/>
      <c r="D50" s="2"/>
      <c r="R50"/>
      <c r="S50"/>
    </row>
    <row r="51" spans="3:19" ht="23.1" customHeight="1" x14ac:dyDescent="0.25">
      <c r="C51" s="2"/>
      <c r="D51" s="2"/>
      <c r="R51"/>
      <c r="S51"/>
    </row>
    <row r="52" spans="3:19" ht="23.1" customHeight="1" x14ac:dyDescent="0.25">
      <c r="C52" s="2"/>
      <c r="D52" s="2"/>
      <c r="R52"/>
      <c r="S52"/>
    </row>
    <row r="53" spans="3:19" ht="23.1" customHeight="1" x14ac:dyDescent="0.25">
      <c r="C53" s="2"/>
      <c r="D53" s="2"/>
      <c r="R53"/>
      <c r="S53"/>
    </row>
    <row r="54" spans="3:19" ht="23.1" customHeight="1" x14ac:dyDescent="0.25">
      <c r="C54" s="2"/>
      <c r="D54" s="2"/>
      <c r="R54"/>
      <c r="S54"/>
    </row>
    <row r="55" spans="3:19" ht="23.1" customHeight="1" x14ac:dyDescent="0.25">
      <c r="C55" s="2"/>
      <c r="D55" s="2"/>
      <c r="R55"/>
      <c r="S55"/>
    </row>
    <row r="56" spans="3:19" ht="23.1" customHeight="1" x14ac:dyDescent="0.25">
      <c r="C56" s="2"/>
      <c r="D56" s="2"/>
      <c r="R56"/>
      <c r="S56"/>
    </row>
    <row r="57" spans="3:19" ht="23.1" customHeight="1" x14ac:dyDescent="0.25">
      <c r="C57" s="2"/>
      <c r="D57" s="2"/>
      <c r="R57"/>
      <c r="S57"/>
    </row>
    <row r="58" spans="3:19" ht="23.1" customHeight="1" x14ac:dyDescent="0.25">
      <c r="C58" s="2"/>
      <c r="D58" s="2"/>
      <c r="R58"/>
      <c r="S58"/>
    </row>
    <row r="59" spans="3:19" ht="23.1" customHeight="1" x14ac:dyDescent="0.25">
      <c r="C59" s="2"/>
      <c r="D59" s="2"/>
      <c r="R59"/>
      <c r="S59"/>
    </row>
    <row r="60" spans="3:19" ht="23.1" customHeight="1" x14ac:dyDescent="0.25">
      <c r="C60" s="2"/>
      <c r="D60" s="2"/>
      <c r="R60"/>
      <c r="S60"/>
    </row>
    <row r="61" spans="3:19" ht="23.1" customHeight="1" x14ac:dyDescent="0.25">
      <c r="C61" s="2"/>
      <c r="D61" s="2"/>
      <c r="R61"/>
      <c r="S61"/>
    </row>
    <row r="62" spans="3:19" ht="23.1" customHeight="1" x14ac:dyDescent="0.25">
      <c r="C62" s="2"/>
      <c r="D62" s="2"/>
      <c r="R62"/>
      <c r="S62"/>
    </row>
    <row r="63" spans="3:19" ht="23.1" customHeight="1" x14ac:dyDescent="0.25">
      <c r="C63" s="2"/>
      <c r="D63" s="2"/>
      <c r="R63"/>
      <c r="S63"/>
    </row>
    <row r="64" spans="3:19" ht="23.1" customHeight="1" x14ac:dyDescent="0.25">
      <c r="C64" s="2"/>
      <c r="D64" s="2"/>
      <c r="R64"/>
      <c r="S64"/>
    </row>
    <row r="65" spans="3:19" ht="23.1" customHeight="1" x14ac:dyDescent="0.25">
      <c r="C65" s="2"/>
      <c r="D65" s="2"/>
      <c r="R65"/>
      <c r="S65"/>
    </row>
    <row r="66" spans="3:19" ht="23.1" customHeight="1" x14ac:dyDescent="0.25">
      <c r="C66" s="2"/>
      <c r="D66" s="2"/>
      <c r="R66"/>
      <c r="S66"/>
    </row>
    <row r="67" spans="3:19" ht="23.1" customHeight="1" x14ac:dyDescent="0.25">
      <c r="C67" s="2"/>
      <c r="D67" s="2"/>
      <c r="R67"/>
      <c r="S67"/>
    </row>
    <row r="68" spans="3:19" ht="23.1" customHeight="1" x14ac:dyDescent="0.25">
      <c r="C68" s="2"/>
      <c r="D68" s="2"/>
      <c r="R68"/>
      <c r="S68"/>
    </row>
    <row r="69" spans="3:19" ht="23.1" customHeight="1" x14ac:dyDescent="0.25">
      <c r="C69" s="2"/>
      <c r="D69" s="2"/>
      <c r="R69"/>
      <c r="S69"/>
    </row>
    <row r="70" spans="3:19" ht="23.1" customHeight="1" x14ac:dyDescent="0.25">
      <c r="C70" s="2"/>
      <c r="D70" s="2"/>
      <c r="R70"/>
      <c r="S70"/>
    </row>
    <row r="71" spans="3:19" ht="23.1" customHeight="1" x14ac:dyDescent="0.25">
      <c r="C71" s="2"/>
      <c r="D71" s="2"/>
      <c r="R71"/>
      <c r="S71"/>
    </row>
    <row r="72" spans="3:19" ht="23.1" customHeight="1" x14ac:dyDescent="0.25">
      <c r="C72" s="2"/>
      <c r="D72" s="2"/>
      <c r="R72"/>
      <c r="S72"/>
    </row>
    <row r="73" spans="3:19" ht="23.1" customHeight="1" x14ac:dyDescent="0.25">
      <c r="C73" s="2"/>
      <c r="D73" s="2"/>
      <c r="R73"/>
      <c r="S73"/>
    </row>
    <row r="74" spans="3:19" ht="23.1" customHeight="1" x14ac:dyDescent="0.25">
      <c r="C74" s="2"/>
      <c r="D74" s="2"/>
      <c r="R74"/>
      <c r="S74"/>
    </row>
    <row r="75" spans="3:19" ht="23.1" customHeight="1" x14ac:dyDescent="0.25">
      <c r="C75" s="2"/>
      <c r="D75" s="2"/>
      <c r="R75"/>
      <c r="S75"/>
    </row>
    <row r="76" spans="3:19" ht="23.1" customHeight="1" x14ac:dyDescent="0.25">
      <c r="C76" s="2"/>
      <c r="D76" s="2"/>
      <c r="R76"/>
      <c r="S76"/>
    </row>
    <row r="77" spans="3:19" ht="23.1" customHeight="1" x14ac:dyDescent="0.25">
      <c r="C77" s="2"/>
      <c r="D77" s="2"/>
      <c r="R77"/>
      <c r="S77"/>
    </row>
    <row r="78" spans="3:19" ht="23.1" customHeight="1" x14ac:dyDescent="0.25">
      <c r="C78" s="2"/>
      <c r="D78" s="2"/>
      <c r="R78"/>
      <c r="S78"/>
    </row>
    <row r="79" spans="3:19" ht="23.1" customHeight="1" x14ac:dyDescent="0.25">
      <c r="C79" s="2"/>
      <c r="D79" s="2"/>
      <c r="R79"/>
      <c r="S79"/>
    </row>
    <row r="80" spans="3:19" ht="23.1" customHeight="1" x14ac:dyDescent="0.25">
      <c r="C80" s="2"/>
      <c r="D80" s="2"/>
      <c r="R80"/>
      <c r="S80"/>
    </row>
    <row r="81" spans="3:19" ht="23.1" customHeight="1" x14ac:dyDescent="0.25">
      <c r="C81" s="2"/>
      <c r="D81" s="2"/>
      <c r="R81"/>
      <c r="S81"/>
    </row>
    <row r="82" spans="3:19" ht="23.1" customHeight="1" x14ac:dyDescent="0.25">
      <c r="C82" s="2"/>
      <c r="D82" s="2"/>
      <c r="R82"/>
      <c r="S82"/>
    </row>
    <row r="83" spans="3:19" ht="23.1" customHeight="1" x14ac:dyDescent="0.25">
      <c r="C83" s="2"/>
      <c r="D83" s="2"/>
      <c r="R83"/>
      <c r="S83"/>
    </row>
    <row r="84" spans="3:19" ht="23.1" customHeight="1" x14ac:dyDescent="0.25">
      <c r="C84" s="2"/>
      <c r="D84" s="2"/>
      <c r="R84"/>
      <c r="S84"/>
    </row>
    <row r="85" spans="3:19" ht="23.1" customHeight="1" x14ac:dyDescent="0.25">
      <c r="C85" s="2"/>
      <c r="D85" s="2"/>
      <c r="R85"/>
      <c r="S85"/>
    </row>
    <row r="86" spans="3:19" ht="23.1" customHeight="1" x14ac:dyDescent="0.25">
      <c r="C86" s="13"/>
      <c r="Q86" s="2"/>
      <c r="S86"/>
    </row>
    <row r="87" spans="3:19" ht="23.1" customHeight="1" x14ac:dyDescent="0.25">
      <c r="C87" s="13"/>
      <c r="Q87" s="2"/>
      <c r="S87"/>
    </row>
    <row r="88" spans="3:19" ht="23.1" customHeight="1" x14ac:dyDescent="0.25">
      <c r="C88" s="13"/>
    </row>
    <row r="89" spans="3:19" ht="23.1" customHeight="1" x14ac:dyDescent="0.25">
      <c r="C89" s="13"/>
    </row>
    <row r="90" spans="3:19" ht="23.1" customHeight="1" x14ac:dyDescent="0.25"/>
    <row r="91" spans="3:19" ht="23.1" customHeight="1" x14ac:dyDescent="0.25"/>
    <row r="92" spans="3:19" ht="23.1" customHeight="1" x14ac:dyDescent="0.25"/>
    <row r="93" spans="3:19" ht="23.1" customHeight="1" x14ac:dyDescent="0.25"/>
    <row r="94" spans="3:19" ht="23.1" customHeight="1" x14ac:dyDescent="0.25"/>
    <row r="95" spans="3:19" ht="23.1" customHeight="1" x14ac:dyDescent="0.25"/>
    <row r="96" spans="3:19" ht="23.1" customHeight="1" x14ac:dyDescent="0.25"/>
    <row r="97" ht="23.1" customHeight="1" x14ac:dyDescent="0.25"/>
    <row r="98" ht="23.1" customHeight="1" x14ac:dyDescent="0.25"/>
    <row r="99" ht="23.1" customHeight="1" x14ac:dyDescent="0.25"/>
    <row r="100" ht="23.1" customHeight="1" x14ac:dyDescent="0.25"/>
    <row r="101" ht="23.1" customHeight="1" x14ac:dyDescent="0.25"/>
    <row r="102" ht="23.1" customHeight="1" x14ac:dyDescent="0.25"/>
    <row r="103" ht="23.1" customHeight="1" x14ac:dyDescent="0.25"/>
    <row r="104" ht="23.1" customHeight="1" x14ac:dyDescent="0.25"/>
    <row r="105" ht="23.1" customHeight="1" x14ac:dyDescent="0.25"/>
    <row r="106" ht="23.1" customHeight="1" x14ac:dyDescent="0.25"/>
    <row r="107" ht="23.1" customHeight="1" x14ac:dyDescent="0.25"/>
    <row r="108" ht="23.1" customHeight="1" x14ac:dyDescent="0.25"/>
    <row r="109" ht="23.1" customHeight="1" x14ac:dyDescent="0.25"/>
    <row r="110" ht="23.1" customHeight="1" x14ac:dyDescent="0.25"/>
    <row r="111" ht="23.1" customHeight="1" x14ac:dyDescent="0.25"/>
    <row r="112" ht="23.1" customHeight="1" x14ac:dyDescent="0.25"/>
    <row r="113" ht="23.1" customHeight="1" x14ac:dyDescent="0.25"/>
    <row r="114" ht="23.1" customHeight="1" x14ac:dyDescent="0.25"/>
    <row r="115" ht="23.1" customHeight="1" x14ac:dyDescent="0.25"/>
    <row r="116" ht="23.1" customHeight="1" x14ac:dyDescent="0.25"/>
    <row r="117" ht="23.1" customHeight="1" x14ac:dyDescent="0.25"/>
    <row r="118" ht="23.1" customHeight="1" x14ac:dyDescent="0.25"/>
    <row r="119" ht="23.1" customHeight="1" x14ac:dyDescent="0.25"/>
    <row r="120" ht="23.1" customHeight="1" x14ac:dyDescent="0.25"/>
    <row r="121" ht="23.1" customHeight="1" x14ac:dyDescent="0.25"/>
    <row r="122" ht="23.1" customHeight="1" x14ac:dyDescent="0.25"/>
    <row r="123" ht="23.1" customHeight="1" x14ac:dyDescent="0.25"/>
    <row r="124" ht="23.1" customHeight="1" x14ac:dyDescent="0.25"/>
    <row r="125" ht="23.1" customHeight="1" x14ac:dyDescent="0.25"/>
    <row r="126" ht="23.1" customHeight="1" x14ac:dyDescent="0.25"/>
    <row r="127" ht="23.1" customHeight="1" x14ac:dyDescent="0.25"/>
    <row r="128" ht="23.1" customHeight="1" x14ac:dyDescent="0.25"/>
    <row r="129" ht="23.1" customHeight="1" x14ac:dyDescent="0.25"/>
    <row r="130" ht="23.1" customHeight="1" x14ac:dyDescent="0.25"/>
    <row r="131" ht="23.1" customHeight="1" x14ac:dyDescent="0.25"/>
    <row r="132" ht="23.1" customHeight="1" x14ac:dyDescent="0.25"/>
    <row r="133" ht="23.1" customHeight="1" x14ac:dyDescent="0.25"/>
    <row r="134" ht="23.1" customHeight="1" x14ac:dyDescent="0.25"/>
    <row r="135" ht="23.1" customHeight="1" x14ac:dyDescent="0.25"/>
    <row r="136" ht="23.1" customHeight="1" x14ac:dyDescent="0.25"/>
    <row r="137" ht="23.1" customHeight="1" x14ac:dyDescent="0.25"/>
    <row r="138" ht="23.1" customHeight="1" x14ac:dyDescent="0.25"/>
    <row r="139" ht="23.1" customHeight="1" x14ac:dyDescent="0.25"/>
    <row r="140" ht="23.1" customHeight="1" x14ac:dyDescent="0.25"/>
    <row r="141" ht="23.1" customHeight="1" x14ac:dyDescent="0.25"/>
    <row r="142" ht="23.1" customHeight="1" x14ac:dyDescent="0.25"/>
    <row r="143" ht="23.1" customHeight="1" x14ac:dyDescent="0.25"/>
    <row r="144" ht="23.1" customHeight="1" x14ac:dyDescent="0.25"/>
    <row r="145" ht="23.1" customHeight="1" x14ac:dyDescent="0.25"/>
    <row r="146" ht="23.1" customHeight="1" x14ac:dyDescent="0.25"/>
    <row r="147" ht="23.1" customHeight="1" x14ac:dyDescent="0.25"/>
    <row r="148" ht="23.1" customHeight="1" x14ac:dyDescent="0.25"/>
    <row r="149" ht="23.1" customHeight="1" x14ac:dyDescent="0.25"/>
    <row r="150" ht="23.1" customHeight="1" x14ac:dyDescent="0.25"/>
    <row r="151" ht="23.1" customHeight="1" x14ac:dyDescent="0.25"/>
  </sheetData>
  <mergeCells count="10">
    <mergeCell ref="C8:P8"/>
    <mergeCell ref="C3:F3"/>
    <mergeCell ref="B1:P1"/>
    <mergeCell ref="B2:P2"/>
    <mergeCell ref="D5:E5"/>
    <mergeCell ref="G5:H5"/>
    <mergeCell ref="K5:L5"/>
    <mergeCell ref="D6:E6"/>
    <mergeCell ref="G6:H6"/>
    <mergeCell ref="K6:L6"/>
  </mergeCells>
  <pageMargins left="0" right="0" top="0" bottom="0" header="0.15748031496062992" footer="0.11811023622047245"/>
  <pageSetup paperSize="9" scale="4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29-04-KISAASI RBT-NALYA RBT</vt:lpstr>
      <vt:lpstr>29-04-NALYA RBT-KISAASI RBT</vt:lpstr>
      <vt:lpstr>29-04-NALYA-KISAASI RBT 2DIR</vt:lpstr>
      <vt:lpstr>'29-04-KISAASI RBT-NALYA RBT'!Print_Area</vt:lpstr>
      <vt:lpstr>'29-04-NALYA RBT-KISAASI RBT'!Print_Area</vt:lpstr>
      <vt:lpstr>'29-04-NALYA-KISAASI RBT 2DIR'!Print_Area</vt:lpstr>
      <vt:lpstr>'29-04-KISAASI RBT-NALYA RBT'!Print_Titles</vt:lpstr>
      <vt:lpstr>'29-04-NALYA RBT-KISAASI RBT'!Print_Titles</vt:lpstr>
      <vt:lpstr>'29-04-NALYA-KISAASI RBT 2DIR'!Print_Titles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MR.O</dc:creator>
  <cp:lastModifiedBy>USER</cp:lastModifiedBy>
  <cp:lastPrinted>2020-03-24T09:54:45Z</cp:lastPrinted>
  <dcterms:created xsi:type="dcterms:W3CDTF">2020-02-14T20:49:42Z</dcterms:created>
  <dcterms:modified xsi:type="dcterms:W3CDTF">2020-03-24T10:24:30Z</dcterms:modified>
</cp:coreProperties>
</file>