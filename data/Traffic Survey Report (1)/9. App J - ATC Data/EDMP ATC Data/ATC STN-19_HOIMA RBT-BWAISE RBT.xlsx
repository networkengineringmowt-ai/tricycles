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 Folder\EDMP\Analysed Data\New 170320\ATC\"/>
    </mc:Choice>
  </mc:AlternateContent>
  <xr:revisionPtr revIDLastSave="0" documentId="13_ncr:1_{E029AFA7-195E-4C61-8298-08DE9EEDA813}" xr6:coauthVersionLast="45" xr6:coauthVersionMax="45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20-26-HOIMA RBT-BWAISE RBT" sheetId="1" r:id="rId1"/>
    <sheet name="20-26-BWAISE RBT-HOIMA RBT" sheetId="2" r:id="rId2"/>
    <sheet name="20-26-BWAISE -HOIMA RBT 2DIR" sheetId="3" r:id="rId3"/>
  </sheets>
  <externalReferences>
    <externalReference r:id="rId4"/>
  </externalReferences>
  <definedNames>
    <definedName name="_xlnm.Print_Area" localSheetId="2">'20-26-BWAISE -HOIMA RBT 2DIR'!$A$1:$W$58</definedName>
    <definedName name="_xlnm.Print_Area" localSheetId="1">'20-26-BWAISE RBT-HOIMA RBT'!$A$1:$W$58</definedName>
    <definedName name="_xlnm.Print_Area" localSheetId="0">'20-26-HOIMA RBT-BWAISE RBT'!$A$1:$W$58</definedName>
    <definedName name="_xlnm.Print_Titles" localSheetId="2">'20-26-BWAISE -HOIMA RBT 2DIR'!$1:$8</definedName>
    <definedName name="_xlnm.Print_Titles" localSheetId="1">'20-26-BWAISE RBT-HOIMA RBT'!$1:$8</definedName>
    <definedName name="_xlnm.Print_Titles" localSheetId="0">'20-26-HOIMA RBT-BWAISE RBT'!$1:$8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3" i="3" l="1"/>
  <c r="AC16" i="3" s="1"/>
  <c r="AB13" i="3"/>
  <c r="AB16" i="3" s="1"/>
  <c r="AB14" i="3" l="1"/>
  <c r="AC14" i="3"/>
  <c r="AB15" i="3"/>
  <c r="AC15" i="3"/>
  <c r="D11" i="1" l="1"/>
  <c r="E11" i="1"/>
  <c r="F11" i="1"/>
  <c r="G11" i="1"/>
  <c r="H11" i="1"/>
  <c r="I11" i="1"/>
  <c r="J11" i="1"/>
  <c r="K11" i="1"/>
  <c r="L11" i="1"/>
  <c r="M11" i="1"/>
  <c r="N11" i="1"/>
  <c r="D12" i="1"/>
  <c r="E12" i="1"/>
  <c r="F12" i="1"/>
  <c r="G12" i="1"/>
  <c r="H12" i="1"/>
  <c r="I12" i="1"/>
  <c r="J12" i="1"/>
  <c r="K12" i="1"/>
  <c r="L12" i="1"/>
  <c r="M12" i="1"/>
  <c r="N12" i="1"/>
  <c r="D13" i="1"/>
  <c r="E13" i="1"/>
  <c r="F13" i="1"/>
  <c r="G13" i="1"/>
  <c r="H13" i="1"/>
  <c r="I13" i="1"/>
  <c r="J13" i="1"/>
  <c r="K13" i="1"/>
  <c r="L13" i="1"/>
  <c r="M13" i="1"/>
  <c r="N13" i="1"/>
  <c r="D14" i="1"/>
  <c r="E14" i="1"/>
  <c r="F14" i="1"/>
  <c r="G14" i="1"/>
  <c r="H14" i="1"/>
  <c r="I14" i="1"/>
  <c r="J14" i="1"/>
  <c r="K14" i="1"/>
  <c r="L14" i="1"/>
  <c r="M14" i="1"/>
  <c r="N14" i="1"/>
  <c r="D15" i="1"/>
  <c r="E15" i="1"/>
  <c r="F15" i="1"/>
  <c r="G15" i="1"/>
  <c r="H15" i="1"/>
  <c r="I15" i="1"/>
  <c r="J15" i="1"/>
  <c r="K15" i="1"/>
  <c r="L15" i="1"/>
  <c r="M15" i="1"/>
  <c r="N15" i="1"/>
  <c r="D16" i="1"/>
  <c r="E16" i="1"/>
  <c r="F16" i="1"/>
  <c r="G16" i="1"/>
  <c r="H16" i="1"/>
  <c r="I16" i="1"/>
  <c r="J16" i="1"/>
  <c r="K16" i="1"/>
  <c r="L16" i="1"/>
  <c r="M16" i="1"/>
  <c r="N16" i="1"/>
  <c r="E10" i="1"/>
  <c r="F10" i="1"/>
  <c r="G10" i="1"/>
  <c r="H10" i="1"/>
  <c r="I10" i="1"/>
  <c r="J10" i="1"/>
  <c r="K10" i="1"/>
  <c r="L10" i="1"/>
  <c r="M10" i="1"/>
  <c r="N10" i="1"/>
  <c r="D11" i="2"/>
  <c r="E11" i="2"/>
  <c r="F11" i="2"/>
  <c r="G11" i="2"/>
  <c r="H11" i="2"/>
  <c r="I11" i="2"/>
  <c r="J11" i="2"/>
  <c r="K11" i="2"/>
  <c r="L11" i="2"/>
  <c r="M11" i="2"/>
  <c r="N11" i="2"/>
  <c r="D12" i="2"/>
  <c r="E12" i="2"/>
  <c r="F12" i="2"/>
  <c r="G12" i="2"/>
  <c r="H12" i="2"/>
  <c r="I12" i="2"/>
  <c r="J12" i="2"/>
  <c r="K12" i="2"/>
  <c r="L12" i="2"/>
  <c r="M12" i="2"/>
  <c r="N12" i="2"/>
  <c r="D13" i="2"/>
  <c r="E13" i="2"/>
  <c r="F13" i="2"/>
  <c r="G13" i="2"/>
  <c r="H13" i="2"/>
  <c r="I13" i="2"/>
  <c r="J13" i="2"/>
  <c r="K13" i="2"/>
  <c r="L13" i="2"/>
  <c r="M13" i="2"/>
  <c r="N13" i="2"/>
  <c r="D14" i="2"/>
  <c r="E14" i="2"/>
  <c r="F14" i="2"/>
  <c r="G14" i="2"/>
  <c r="H14" i="2"/>
  <c r="I14" i="2"/>
  <c r="J14" i="2"/>
  <c r="K14" i="2"/>
  <c r="L14" i="2"/>
  <c r="M14" i="2"/>
  <c r="N14" i="2"/>
  <c r="D15" i="2"/>
  <c r="E15" i="2"/>
  <c r="F15" i="2"/>
  <c r="G15" i="2"/>
  <c r="H15" i="2"/>
  <c r="I15" i="2"/>
  <c r="J15" i="2"/>
  <c r="K15" i="2"/>
  <c r="L15" i="2"/>
  <c r="M15" i="2"/>
  <c r="N15" i="2"/>
  <c r="D16" i="2"/>
  <c r="E16" i="2"/>
  <c r="F16" i="2"/>
  <c r="G16" i="2"/>
  <c r="H16" i="2"/>
  <c r="I16" i="2"/>
  <c r="J16" i="2"/>
  <c r="K16" i="2"/>
  <c r="L16" i="2"/>
  <c r="M16" i="2"/>
  <c r="N16" i="2"/>
  <c r="E10" i="2"/>
  <c r="F10" i="2"/>
  <c r="G10" i="2"/>
  <c r="H10" i="2"/>
  <c r="I10" i="2"/>
  <c r="J10" i="2"/>
  <c r="K10" i="2"/>
  <c r="L10" i="2"/>
  <c r="M10" i="2"/>
  <c r="N10" i="2"/>
  <c r="D10" i="2"/>
  <c r="D10" i="1"/>
  <c r="C11" i="3" l="1"/>
  <c r="D11" i="3"/>
  <c r="E11" i="3"/>
  <c r="F11" i="3"/>
  <c r="G11" i="3"/>
  <c r="H11" i="3"/>
  <c r="I11" i="3"/>
  <c r="J11" i="3"/>
  <c r="K11" i="3"/>
  <c r="L11" i="3"/>
  <c r="M11" i="3"/>
  <c r="N11" i="3"/>
  <c r="C12" i="3"/>
  <c r="D12" i="3"/>
  <c r="E12" i="3"/>
  <c r="F12" i="3"/>
  <c r="G12" i="3"/>
  <c r="H12" i="3"/>
  <c r="I12" i="3"/>
  <c r="J12" i="3"/>
  <c r="K12" i="3"/>
  <c r="L12" i="3"/>
  <c r="M12" i="3"/>
  <c r="N12" i="3"/>
  <c r="C13" i="3"/>
  <c r="D13" i="3"/>
  <c r="E13" i="3"/>
  <c r="F13" i="3"/>
  <c r="G13" i="3"/>
  <c r="H13" i="3"/>
  <c r="I13" i="3"/>
  <c r="J13" i="3"/>
  <c r="K13" i="3"/>
  <c r="L13" i="3"/>
  <c r="M13" i="3"/>
  <c r="N13" i="3"/>
  <c r="C14" i="3"/>
  <c r="D14" i="3"/>
  <c r="E14" i="3"/>
  <c r="F14" i="3"/>
  <c r="O14" i="3" s="1"/>
  <c r="G14" i="3"/>
  <c r="H14" i="3"/>
  <c r="I14" i="3"/>
  <c r="J14" i="3"/>
  <c r="K14" i="3"/>
  <c r="L14" i="3"/>
  <c r="M14" i="3"/>
  <c r="N14" i="3"/>
  <c r="C15" i="3"/>
  <c r="C17" i="3" s="1"/>
  <c r="D15" i="3"/>
  <c r="E15" i="3"/>
  <c r="F15" i="3"/>
  <c r="G15" i="3"/>
  <c r="H15" i="3"/>
  <c r="I15" i="3"/>
  <c r="J15" i="3"/>
  <c r="K15" i="3"/>
  <c r="L15" i="3"/>
  <c r="M15" i="3"/>
  <c r="N15" i="3"/>
  <c r="C16" i="3"/>
  <c r="D16" i="3"/>
  <c r="E16" i="3"/>
  <c r="F16" i="3"/>
  <c r="G16" i="3"/>
  <c r="H16" i="3"/>
  <c r="I16" i="3"/>
  <c r="J16" i="3"/>
  <c r="K16" i="3"/>
  <c r="L16" i="3"/>
  <c r="M16" i="3"/>
  <c r="N16" i="3"/>
  <c r="D10" i="3"/>
  <c r="E10" i="3"/>
  <c r="F10" i="3"/>
  <c r="G10" i="3"/>
  <c r="H10" i="3"/>
  <c r="I10" i="3"/>
  <c r="J10" i="3"/>
  <c r="K10" i="3"/>
  <c r="L10" i="3"/>
  <c r="M10" i="3"/>
  <c r="N10" i="3"/>
  <c r="N17" i="3" s="1"/>
  <c r="C10" i="3"/>
  <c r="O12" i="3" l="1"/>
  <c r="F17" i="3"/>
  <c r="O11" i="3"/>
  <c r="O15" i="3"/>
  <c r="O16" i="3"/>
  <c r="O13" i="3"/>
  <c r="O18" i="3" s="1"/>
  <c r="J17" i="3"/>
  <c r="J19" i="3" s="1"/>
  <c r="P10" i="3"/>
  <c r="P18" i="3" s="1"/>
  <c r="K17" i="3"/>
  <c r="I17" i="3"/>
  <c r="P16" i="3"/>
  <c r="P14" i="3"/>
  <c r="P12" i="3"/>
  <c r="H17" i="3"/>
  <c r="G17" i="3"/>
  <c r="M17" i="3"/>
  <c r="O10" i="3"/>
  <c r="P15" i="3"/>
  <c r="P13" i="3"/>
  <c r="L17" i="3"/>
  <c r="P11" i="3"/>
  <c r="D17" i="3"/>
  <c r="O17" i="3"/>
  <c r="N19" i="3" s="1"/>
  <c r="E17" i="3"/>
  <c r="P17" i="3" l="1"/>
  <c r="F19" i="3"/>
  <c r="M18" i="3"/>
  <c r="G18" i="3"/>
  <c r="D18" i="3"/>
  <c r="L18" i="3"/>
  <c r="H18" i="3"/>
  <c r="J18" i="3"/>
  <c r="K18" i="3"/>
  <c r="C18" i="3"/>
  <c r="E18" i="3"/>
  <c r="I18" i="3"/>
  <c r="M19" i="3"/>
  <c r="K19" i="3"/>
  <c r="E19" i="3"/>
  <c r="D19" i="3"/>
  <c r="H19" i="3"/>
  <c r="L19" i="3"/>
  <c r="G19" i="3"/>
  <c r="F18" i="3"/>
  <c r="N18" i="3"/>
  <c r="I19" i="3"/>
  <c r="N17" i="2"/>
  <c r="M17" i="2"/>
  <c r="L17" i="2"/>
  <c r="K17" i="2"/>
  <c r="J17" i="2"/>
  <c r="I17" i="2"/>
  <c r="H17" i="2"/>
  <c r="G17" i="2"/>
  <c r="F17" i="2"/>
  <c r="E17" i="2"/>
  <c r="D17" i="2"/>
  <c r="C17" i="2"/>
  <c r="P16" i="2"/>
  <c r="P15" i="2"/>
  <c r="P14" i="2"/>
  <c r="P13" i="2"/>
  <c r="P12" i="2"/>
  <c r="P11" i="2"/>
  <c r="P10" i="2"/>
  <c r="P11" i="1"/>
  <c r="P12" i="1"/>
  <c r="P13" i="1"/>
  <c r="P14" i="1"/>
  <c r="P15" i="1"/>
  <c r="P16" i="1"/>
  <c r="P10" i="1"/>
  <c r="D17" i="1"/>
  <c r="E17" i="1"/>
  <c r="F17" i="1"/>
  <c r="G17" i="1"/>
  <c r="H17" i="1"/>
  <c r="I17" i="1"/>
  <c r="J17" i="1"/>
  <c r="K17" i="1"/>
  <c r="L17" i="1"/>
  <c r="M17" i="1"/>
  <c r="N17" i="1"/>
  <c r="C17" i="1"/>
  <c r="P17" i="1" l="1"/>
  <c r="C18" i="1" s="1"/>
  <c r="O17" i="1"/>
  <c r="E19" i="1" s="1"/>
  <c r="P18" i="2"/>
  <c r="P17" i="2"/>
  <c r="J18" i="2" s="1"/>
  <c r="O17" i="2"/>
  <c r="G19" i="2" s="1"/>
  <c r="O18" i="2"/>
  <c r="L19" i="1" l="1"/>
  <c r="I19" i="1"/>
  <c r="M19" i="1"/>
  <c r="H19" i="1"/>
  <c r="K19" i="1"/>
  <c r="G19" i="1"/>
  <c r="F19" i="1"/>
  <c r="M18" i="2"/>
  <c r="E18" i="2"/>
  <c r="N18" i="2"/>
  <c r="D19" i="1"/>
  <c r="N19" i="1"/>
  <c r="K19" i="2"/>
  <c r="L19" i="2"/>
  <c r="H19" i="2"/>
  <c r="L18" i="2"/>
  <c r="E19" i="2"/>
  <c r="G18" i="2"/>
  <c r="H18" i="2"/>
  <c r="F19" i="2"/>
  <c r="K18" i="2"/>
  <c r="M19" i="2"/>
  <c r="N19" i="2"/>
  <c r="D19" i="2"/>
  <c r="F18" i="2"/>
  <c r="I18" i="2"/>
  <c r="D18" i="2"/>
  <c r="I19" i="2"/>
  <c r="J19" i="2"/>
  <c r="C18" i="2"/>
  <c r="J19" i="1"/>
  <c r="F18" i="1" l="1"/>
  <c r="E18" i="1" l="1"/>
  <c r="K18" i="1"/>
  <c r="M18" i="1"/>
  <c r="I18" i="1"/>
  <c r="D18" i="1"/>
  <c r="L18" i="1"/>
  <c r="H18" i="1"/>
  <c r="G18" i="1"/>
  <c r="N18" i="1"/>
  <c r="J18" i="1"/>
  <c r="P18" i="1"/>
  <c r="O18" i="1" l="1"/>
</calcChain>
</file>

<file path=xl/sharedStrings.xml><?xml version="1.0" encoding="utf-8"?>
<sst xmlns="http://schemas.openxmlformats.org/spreadsheetml/2006/main" count="123" uniqueCount="44">
  <si>
    <t>Consultancy services for Preparation of Expressway Development Master Plan (EDMP) for Uganda</t>
  </si>
  <si>
    <t>ROAD NAME:</t>
  </si>
  <si>
    <t>Date</t>
  </si>
  <si>
    <t xml:space="preserve">  Location</t>
  </si>
  <si>
    <t>Surveyor</t>
  </si>
  <si>
    <t>Dir. From</t>
  </si>
  <si>
    <t xml:space="preserve">  Dir. To</t>
  </si>
  <si>
    <t>Supervisor</t>
  </si>
  <si>
    <t>Time / Veh Type</t>
  </si>
  <si>
    <t>SUMMARY TRAFFIC VOLUMES</t>
  </si>
  <si>
    <t>Total Excl M/ Cycles</t>
  </si>
  <si>
    <t>%ges + MCs</t>
  </si>
  <si>
    <t>%ges w/o MCs</t>
  </si>
  <si>
    <t>IVAN</t>
  </si>
  <si>
    <t>ATC</t>
  </si>
  <si>
    <t>1.Motorcycles</t>
  </si>
  <si>
    <t>Mon</t>
  </si>
  <si>
    <t>THU</t>
  </si>
  <si>
    <t>FRI</t>
  </si>
  <si>
    <t>SAT</t>
  </si>
  <si>
    <t>TUE</t>
  </si>
  <si>
    <t>WED</t>
  </si>
  <si>
    <t>SUN</t>
  </si>
  <si>
    <t>Average daily volume</t>
  </si>
  <si>
    <t xml:space="preserve"> Total All</t>
  </si>
  <si>
    <t>AUTOMATIC TRAFFIC COUNT (ATC)</t>
  </si>
  <si>
    <t>WEEKLY TRAFFIC VOLUMES</t>
  </si>
  <si>
    <t>HOIMA RBT</t>
  </si>
  <si>
    <t>BWAISE RBT</t>
  </si>
  <si>
    <t xml:space="preserve">ATC - STN19-NORTHERN BYPASS RD </t>
  </si>
  <si>
    <t>20.01.2020 TO 26.01.2020</t>
  </si>
  <si>
    <t>ATC - STN19 BOTH DIRECTIONS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</si>
  <si>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</si>
  <si>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</si>
  <si>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</si>
  <si>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</si>
  <si>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</si>
  <si>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</si>
  <si>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</si>
  <si>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</si>
  <si>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</si>
  <si>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</si>
  <si>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12. Tractors</t>
  </si>
  <si>
    <t>4. Minibus matatu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</si>
</sst>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0" fontId="0" fillId="0" borderId="4" xfId="0" applyBorder="1"/>
    <xf numFmtId="0" fontId="10" fillId="2" borderId="1" xfId="0" applyFon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9" fontId="0" fillId="0" borderId="0" xfId="1" applyFont="1"/>
    <xf numFmtId="1" fontId="2" fillId="0" borderId="6" xfId="0" applyNumberFormat="1" applyFont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64" fontId="0" fillId="0" borderId="0" xfId="0" applyNumberFormat="1"/>
    <xf numFmtId="0" fontId="9" fillId="0" borderId="4" xfId="0" applyFont="1" applyBorder="1" applyAlignment="1">
      <alignment horizontal="center" vertical="center" wrapText="1"/>
    </xf>
    <xf numFmtId="0" fontId="5" fillId="0" borderId="0" xfId="0" applyFont="1" applyBorder="1" applyAlignment="1"/>
    <xf numFmtId="0" fontId="9" fillId="0" borderId="4" xfId="0" applyFont="1" applyBorder="1" applyAlignment="1">
      <alignment horizontal="left" vertical="center" wrapText="1"/>
    </xf>
    <xf numFmtId="9" fontId="2" fillId="0" borderId="4" xfId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/>
    <xf numFmtId="1" fontId="0" fillId="0" borderId="4" xfId="0" applyNumberFormat="1" applyBorder="1" applyAlignment="1"/>
    <xf numFmtId="0" fontId="0" fillId="0" borderId="4" xfId="0" applyBorder="1" applyAlignment="1">
      <alignment horizontal="right"/>
    </xf>
    <xf numFmtId="1" fontId="0" fillId="0" borderId="4" xfId="0" applyNumberFormat="1" applyBorder="1" applyAlignment="1">
      <alignment horizontal="right"/>
    </xf>
    <xf numFmtId="164" fontId="13" fillId="0" borderId="0" xfId="1" applyNumberFormat="1" applyFont="1" applyAlignment="1">
      <alignment horizontal="center"/>
    </xf>
    <xf numFmtId="164" fontId="13" fillId="0" borderId="0" xfId="1" applyNumberFormat="1" applyFont="1"/>
    <xf numFmtId="0" fontId="2" fillId="0" borderId="4" xfId="0" applyFont="1" applyBorder="1" applyAlignment="1">
      <alignment horizontal="center" vertical="center" wrapText="1"/>
    </xf>
    <xf numFmtId="1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5" fillId="0" borderId="4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Weekly Traffic Variation </a:t>
            </a:r>
          </a:p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'20-26-HOIMA RBT-BWAISE RBT'!$O$9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'20-26-HOIMA RBT-BWAISE RBT'!$B$10:$B$16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'20-26-HOIMA RBT-BWAISE RBT'!$O$10:$O$16</c:f>
              <c:numCache>
                <c:formatCode>0</c:formatCode>
                <c:ptCount val="7"/>
                <c:pt idx="0">
                  <c:v>15581</c:v>
                </c:pt>
                <c:pt idx="1">
                  <c:v>18940</c:v>
                </c:pt>
                <c:pt idx="2">
                  <c:v>19859</c:v>
                </c:pt>
                <c:pt idx="3">
                  <c:v>20619</c:v>
                </c:pt>
                <c:pt idx="4">
                  <c:v>21950</c:v>
                </c:pt>
                <c:pt idx="5">
                  <c:v>17475</c:v>
                </c:pt>
                <c:pt idx="6">
                  <c:v>18177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32-4FEA-9337-4E2FD7646512}"/>
            </c:ext>
          </c:extLst>
        </c:ser>
        <c:ser>
          <c:idx val="1"/>
          <c:order val="1"/>
          <c:tx>
            <c:strRef>
              <c:f>'20-26-HOIMA RBT-BWAISE RBT'!$P$9</c:f>
              <c:strCache>
                <c:ptCount val="1"/>
                <c:pt idx="0">
                  <c:v> 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'20-26-HOIMA RBT-BWAISE RBT'!$B$10:$B$16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'20-26-HOIMA RBT-BWAISE RBT'!$P$10:$P$16</c:f>
              <c:numCache>
                <c:formatCode>0</c:formatCode>
                <c:ptCount val="7"/>
                <c:pt idx="0">
                  <c:v>24798.999999999996</c:v>
                </c:pt>
                <c:pt idx="1">
                  <c:v>28260</c:v>
                </c:pt>
                <c:pt idx="2">
                  <c:v>28357.999999999996</c:v>
                </c:pt>
                <c:pt idx="3">
                  <c:v>28896.999999999993</c:v>
                </c:pt>
                <c:pt idx="4">
                  <c:v>32201.999999999996</c:v>
                </c:pt>
                <c:pt idx="5">
                  <c:v>27442.999999999993</c:v>
                </c:pt>
                <c:pt idx="6">
                  <c:v>27884.999999999993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32-4FEA-9337-4E2FD7646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091792"/>
        <c:axId val="802094512"/>
      </c:lineChart>
      <c:catAx>
        <c:axId val="80209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4512"/>
        <c:crosses val="autoZero"/>
        <c:auto val="1"/>
        <c:lblAlgn val="ctr"/>
        <c:lblOffset val="100"/>
        <c:noMultiLvlLbl val="0"/>
      </c:catAx>
      <c:valAx>
        <c:axId val="80209451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Including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66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77465720024135E-2"/>
          <c:y val="8.013560502587487E-2"/>
          <c:w val="0.87655985254857882"/>
          <c:h val="0.80325343229815682"/>
        </c:manualLayout>
      </c:layout>
      <c:pie3DChart>
        <c:varyColors val="1"/>
        <c:ser>
          <c:idx val="0"/>
          <c:order val="0"/>
          <c:tx>
            <c:strRef>
              <c:f>'20-26-HOIMA RBT-BWAISE RBT'!$C$18:$N$18</c:f>
              <c:strCache>
                <c:ptCount val="12"/>
                <c:pt idx="0">
                  <c:v>33%</c:v>
                </c:pt>
                <c:pt idx="1">
                  <c:v>31%</c:v>
                </c:pt>
                <c:pt idx="2">
                  <c:v>5%</c:v>
                </c:pt>
                <c:pt idx="3">
                  <c:v>4%</c:v>
                </c:pt>
                <c:pt idx="4">
                  <c:v>13%</c:v>
                </c:pt>
                <c:pt idx="5">
                  <c:v>1%</c:v>
                </c:pt>
                <c:pt idx="6">
                  <c:v>0%</c:v>
                </c:pt>
                <c:pt idx="7">
                  <c:v>5%</c:v>
                </c:pt>
                <c:pt idx="8">
                  <c:v>4%</c:v>
                </c:pt>
                <c:pt idx="9">
                  <c:v>2%</c:v>
                </c:pt>
                <c:pt idx="10">
                  <c:v>2%</c:v>
                </c:pt>
                <c:pt idx="11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58-40FA-AC31-D48FDE4643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58-40FA-AC31-D48FDE4643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58-40FA-AC31-D48FDE4643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458-40FA-AC31-D48FDE4643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458-40FA-AC31-D48FDE4643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458-40FA-AC31-D48FDE46438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458-40FA-AC31-D48FDE46438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458-40FA-AC31-D48FDE46438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458-40FA-AC31-D48FDE46438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458-40FA-AC31-D48FDE46438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458-40FA-AC31-D48FDE46438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458-40FA-AC31-D48FDE46438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458-40FA-AC31-D48FDE4643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'20-26-HOIMA RBT-BWAISE RBT'!$C$9:$N$9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Minibus,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Munyonyo-Kibuye-2Dir'!$C$107:$N$107</c:f>
              <c:numCache>
                <c:formatCode>General</c:formatCode>
                <c:ptCount val="12"/>
                <c:pt idx="0">
                  <c:v>0.12930183209716614</c:v>
                </c:pt>
                <c:pt idx="1">
                  <c:v>4.7988984766631639E-2</c:v>
                </c:pt>
                <c:pt idx="2">
                  <c:v>1.3401469889907276E-2</c:v>
                </c:pt>
                <c:pt idx="3">
                  <c:v>0.15237739492909838</c:v>
                </c:pt>
                <c:pt idx="4">
                  <c:v>1.6530797551375614E-3</c:v>
                </c:pt>
                <c:pt idx="5">
                  <c:v>3.3379495055662294E-4</c:v>
                </c:pt>
                <c:pt idx="6">
                  <c:v>1.1366910191276423E-2</c:v>
                </c:pt>
                <c:pt idx="7">
                  <c:v>2.1160215615643068E-3</c:v>
                </c:pt>
                <c:pt idx="8">
                  <c:v>1.8398459774728146E-3</c:v>
                </c:pt>
                <c:pt idx="9">
                  <c:v>1.4106810410428709E-4</c:v>
                </c:pt>
                <c:pt idx="10">
                  <c:v>0.63936435904415434</c:v>
                </c:pt>
                <c:pt idx="11">
                  <c:v>1.1523873293026267E-4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458-40FA-AC31-D48FDE464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Excluding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21349354452078E-2"/>
          <c:y val="0.20025731425750379"/>
          <c:w val="0.83261086583830202"/>
          <c:h val="0.76871916342946045"/>
        </c:manualLayout>
      </c:layout>
      <c:pie3DChart>
        <c:varyColors val="1"/>
        <c:ser>
          <c:idx val="0"/>
          <c:order val="0"/>
          <c:tx>
            <c:strRef>
              <c:f>'20-26-HOIMA RBT-BWAISE RBT'!$D$19:$N$19</c:f>
              <c:strCache>
                <c:ptCount val="11"/>
                <c:pt idx="0">
                  <c:v>46%</c:v>
                </c:pt>
                <c:pt idx="1">
                  <c:v>7%</c:v>
                </c:pt>
                <c:pt idx="2">
                  <c:v>7%</c:v>
                </c:pt>
                <c:pt idx="3">
                  <c:v>19%</c:v>
                </c:pt>
                <c:pt idx="4">
                  <c:v>1%</c:v>
                </c:pt>
                <c:pt idx="5">
                  <c:v>0%</c:v>
                </c:pt>
                <c:pt idx="6">
                  <c:v>7%</c:v>
                </c:pt>
                <c:pt idx="7">
                  <c:v>6%</c:v>
                </c:pt>
                <c:pt idx="8">
                  <c:v>3%</c:v>
                </c:pt>
                <c:pt idx="9">
                  <c:v>3%</c:v>
                </c:pt>
                <c:pt idx="10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5EE-4E36-A14A-A997E962A1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5EE-4E36-A14A-A997E962A1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5EE-4E36-A14A-A997E962A1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5EE-4E36-A14A-A997E962A1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5EE-4E36-A14A-A997E962A1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5EE-4E36-A14A-A997E962A1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5EE-4E36-A14A-A997E962A16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5EE-4E36-A14A-A997E962A16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5EE-4E36-A14A-A997E962A16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5EE-4E36-A14A-A997E962A16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5EE-4E36-A14A-A997E962A16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5EE-4E36-A14A-A997E962A16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5EE-4E36-A14A-A997E962A1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'20-26-HOIMA RBT-BWAISE RBT'!$C$9:$N$9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Minibus,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Munyonyo-Kibuye-2Dir'!$C$108:$N$108</c:f>
              <c:numCache>
                <c:formatCode>General</c:formatCode>
                <c:ptCount val="12"/>
                <c:pt idx="0">
                  <c:v>0.35853869505093411</c:v>
                </c:pt>
                <c:pt idx="1">
                  <c:v>0.13306778176288778</c:v>
                </c:pt>
                <c:pt idx="2">
                  <c:v>3.7160691756331646E-2</c:v>
                </c:pt>
                <c:pt idx="3">
                  <c:v>0.42252450291721066</c:v>
                </c:pt>
                <c:pt idx="4">
                  <c:v>4.5837947429604037E-3</c:v>
                </c:pt>
                <c:pt idx="5">
                  <c:v>9.2557393848238909E-4</c:v>
                </c:pt>
                <c:pt idx="6">
                  <c:v>3.1519098226534203E-2</c:v>
                </c:pt>
                <c:pt idx="7">
                  <c:v>5.8674776457365756E-3</c:v>
                </c:pt>
                <c:pt idx="8">
                  <c:v>5.1016753990160259E-3</c:v>
                </c:pt>
                <c:pt idx="9">
                  <c:v>3.9116517638243829E-4</c:v>
                </c:pt>
                <c:pt idx="10">
                  <c:v>3.9116502739489079E-4</c:v>
                </c:pt>
                <c:pt idx="11">
                  <c:v>3.1954338352368198E-4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5EE-4E36-A14A-A997E962A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Weekly Traffic Variation </a:t>
            </a:r>
          </a:p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30571164873657"/>
          <c:y val="0.14189235127478753"/>
          <c:w val="0.74266939327419168"/>
          <c:h val="0.68825054092034532"/>
        </c:manualLayout>
      </c:layout>
      <c:lineChart>
        <c:grouping val="standard"/>
        <c:varyColors val="0"/>
        <c:ser>
          <c:idx val="0"/>
          <c:order val="0"/>
          <c:tx>
            <c:strRef>
              <c:f>'20-26-BWAISE RBT-HOIMA RBT'!$O$9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'20-26-BWAISE RBT-HOIMA RBT'!$B$10:$B$16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'20-26-BWAISE RBT-HOIMA RBT'!$O$10:$O$16</c:f>
              <c:numCache>
                <c:formatCode>0</c:formatCode>
                <c:ptCount val="7"/>
                <c:pt idx="0">
                  <c:v>21174</c:v>
                </c:pt>
                <c:pt idx="1">
                  <c:v>19086</c:v>
                </c:pt>
                <c:pt idx="2">
                  <c:v>20569</c:v>
                </c:pt>
                <c:pt idx="3">
                  <c:v>19819</c:v>
                </c:pt>
                <c:pt idx="4">
                  <c:v>21370</c:v>
                </c:pt>
                <c:pt idx="5">
                  <c:v>22513</c:v>
                </c:pt>
                <c:pt idx="6">
                  <c:v>19480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7A-47D0-B109-A9114B7F6EA2}"/>
            </c:ext>
          </c:extLst>
        </c:ser>
        <c:ser>
          <c:idx val="1"/>
          <c:order val="1"/>
          <c:tx>
            <c:strRef>
              <c:f>'20-26-BWAISE RBT-HOIMA RBT'!$P$9</c:f>
              <c:strCache>
                <c:ptCount val="1"/>
                <c:pt idx="0">
                  <c:v> 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'20-26-BWAISE RBT-HOIMA RBT'!$B$10:$B$16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'20-26-BWAISE RBT-HOIMA RBT'!$P$10:$P$16</c:f>
              <c:numCache>
                <c:formatCode>0</c:formatCode>
                <c:ptCount val="7"/>
                <c:pt idx="0">
                  <c:v>33797.999999999993</c:v>
                </c:pt>
                <c:pt idx="1">
                  <c:v>29094.999999999993</c:v>
                </c:pt>
                <c:pt idx="2">
                  <c:v>32275.999999999989</c:v>
                </c:pt>
                <c:pt idx="3">
                  <c:v>31517.000000000004</c:v>
                </c:pt>
                <c:pt idx="4">
                  <c:v>33776.999999999993</c:v>
                </c:pt>
                <c:pt idx="5">
                  <c:v>35140.999999999993</c:v>
                </c:pt>
                <c:pt idx="6">
                  <c:v>30355.999999999985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7A-47D0-B109-A9114B7F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091792"/>
        <c:axId val="802094512"/>
      </c:lineChart>
      <c:catAx>
        <c:axId val="80209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4512"/>
        <c:crosses val="autoZero"/>
        <c:auto val="1"/>
        <c:lblAlgn val="ctr"/>
        <c:lblOffset val="100"/>
        <c:noMultiLvlLbl val="0"/>
      </c:catAx>
      <c:valAx>
        <c:axId val="80209451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Including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66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77465720024135E-2"/>
          <c:y val="8.013560502587487E-2"/>
          <c:w val="0.87655985254857882"/>
          <c:h val="0.80325343229815682"/>
        </c:manualLayout>
      </c:layout>
      <c:pie3DChart>
        <c:varyColors val="1"/>
        <c:ser>
          <c:idx val="0"/>
          <c:order val="0"/>
          <c:tx>
            <c:strRef>
              <c:f>'20-26-BWAISE RBT-HOIMA RBT'!$C$18:$N$18</c:f>
              <c:strCache>
                <c:ptCount val="12"/>
                <c:pt idx="0">
                  <c:v>36%</c:v>
                </c:pt>
                <c:pt idx="1">
                  <c:v>30%</c:v>
                </c:pt>
                <c:pt idx="2">
                  <c:v>5%</c:v>
                </c:pt>
                <c:pt idx="3">
                  <c:v>4%</c:v>
                </c:pt>
                <c:pt idx="4">
                  <c:v>12%</c:v>
                </c:pt>
                <c:pt idx="5">
                  <c:v>1%</c:v>
                </c:pt>
                <c:pt idx="6">
                  <c:v>0%</c:v>
                </c:pt>
                <c:pt idx="7">
                  <c:v>5%</c:v>
                </c:pt>
                <c:pt idx="8">
                  <c:v>4%</c:v>
                </c:pt>
                <c:pt idx="9">
                  <c:v>2%</c:v>
                </c:pt>
                <c:pt idx="10">
                  <c:v>2%</c:v>
                </c:pt>
                <c:pt idx="11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C0-43BE-ADDE-6EEEF26FE9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C0-43BE-ADDE-6EEEF26FE9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1C0-43BE-ADDE-6EEEF26FE9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1C0-43BE-ADDE-6EEEF26FE9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1C0-43BE-ADDE-6EEEF26FE9B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1C0-43BE-ADDE-6EEEF26FE9B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1C0-43BE-ADDE-6EEEF26FE9B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1C0-43BE-ADDE-6EEEF26FE9B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1C0-43BE-ADDE-6EEEF26FE9B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1C0-43BE-ADDE-6EEEF26FE9B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1C0-43BE-ADDE-6EEEF26FE9B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1C0-43BE-ADDE-6EEEF26FE9B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1C0-43BE-ADDE-6EEEF26FE9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'20-26-BWAISE RBT-HOIMA RBT'!$C$9:$N$9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Minibus,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Munyonyo-Kibuye-2Dir'!$C$107:$N$107</c:f>
              <c:numCache>
                <c:formatCode>General</c:formatCode>
                <c:ptCount val="12"/>
                <c:pt idx="0">
                  <c:v>0.12930183209716614</c:v>
                </c:pt>
                <c:pt idx="1">
                  <c:v>4.7988984766631639E-2</c:v>
                </c:pt>
                <c:pt idx="2">
                  <c:v>1.3401469889907276E-2</c:v>
                </c:pt>
                <c:pt idx="3">
                  <c:v>0.15237739492909838</c:v>
                </c:pt>
                <c:pt idx="4">
                  <c:v>1.6530797551375614E-3</c:v>
                </c:pt>
                <c:pt idx="5">
                  <c:v>3.3379495055662294E-4</c:v>
                </c:pt>
                <c:pt idx="6">
                  <c:v>1.1366910191276423E-2</c:v>
                </c:pt>
                <c:pt idx="7">
                  <c:v>2.1160215615643068E-3</c:v>
                </c:pt>
                <c:pt idx="8">
                  <c:v>1.8398459774728146E-3</c:v>
                </c:pt>
                <c:pt idx="9">
                  <c:v>1.4106810410428709E-4</c:v>
                </c:pt>
                <c:pt idx="10">
                  <c:v>0.63936435904415434</c:v>
                </c:pt>
                <c:pt idx="11">
                  <c:v>1.1523873293026267E-4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1C0-43BE-ADDE-6EEEF26FE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Excluding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21349354452078E-2"/>
          <c:y val="0.20025731425750379"/>
          <c:w val="0.83261086583830202"/>
          <c:h val="0.76871916342946045"/>
        </c:manualLayout>
      </c:layout>
      <c:pie3DChart>
        <c:varyColors val="1"/>
        <c:ser>
          <c:idx val="0"/>
          <c:order val="0"/>
          <c:tx>
            <c:strRef>
              <c:f>'20-26-BWAISE RBT-HOIMA RBT'!$D$19:$N$19</c:f>
              <c:strCache>
                <c:ptCount val="11"/>
                <c:pt idx="0">
                  <c:v>46%</c:v>
                </c:pt>
                <c:pt idx="1">
                  <c:v>7%</c:v>
                </c:pt>
                <c:pt idx="2">
                  <c:v>7%</c:v>
                </c:pt>
                <c:pt idx="3">
                  <c:v>19%</c:v>
                </c:pt>
                <c:pt idx="4">
                  <c:v>1%</c:v>
                </c:pt>
                <c:pt idx="5">
                  <c:v>0%</c:v>
                </c:pt>
                <c:pt idx="6">
                  <c:v>7%</c:v>
                </c:pt>
                <c:pt idx="7">
                  <c:v>6%</c:v>
                </c:pt>
                <c:pt idx="8">
                  <c:v>3%</c:v>
                </c:pt>
                <c:pt idx="9">
                  <c:v>3%</c:v>
                </c:pt>
                <c:pt idx="10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1B6-44FA-B163-D2897382F4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1B6-44FA-B163-D2897382F4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1B6-44FA-B163-D2897382F4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1B6-44FA-B163-D2897382F4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1B6-44FA-B163-D2897382F4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1B6-44FA-B163-D2897382F4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1B6-44FA-B163-D2897382F4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1B6-44FA-B163-D2897382F4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1B6-44FA-B163-D2897382F42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1B6-44FA-B163-D2897382F42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1B6-44FA-B163-D2897382F42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1B6-44FA-B163-D2897382F42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1B6-44FA-B163-D2897382F4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'20-26-BWAISE RBT-HOIMA RBT'!$C$9:$N$9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Minibus,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Munyonyo-Kibuye-2Dir'!$C$108:$N$108</c:f>
              <c:numCache>
                <c:formatCode>General</c:formatCode>
                <c:ptCount val="12"/>
                <c:pt idx="0">
                  <c:v>0.35853869505093411</c:v>
                </c:pt>
                <c:pt idx="1">
                  <c:v>0.13306778176288778</c:v>
                </c:pt>
                <c:pt idx="2">
                  <c:v>3.7160691756331646E-2</c:v>
                </c:pt>
                <c:pt idx="3">
                  <c:v>0.42252450291721066</c:v>
                </c:pt>
                <c:pt idx="4">
                  <c:v>4.5837947429604037E-3</c:v>
                </c:pt>
                <c:pt idx="5">
                  <c:v>9.2557393848238909E-4</c:v>
                </c:pt>
                <c:pt idx="6">
                  <c:v>3.1519098226534203E-2</c:v>
                </c:pt>
                <c:pt idx="7">
                  <c:v>5.8674776457365756E-3</c:v>
                </c:pt>
                <c:pt idx="8">
                  <c:v>5.1016753990160259E-3</c:v>
                </c:pt>
                <c:pt idx="9">
                  <c:v>3.9116517638243829E-4</c:v>
                </c:pt>
                <c:pt idx="10">
                  <c:v>3.9116502739489079E-4</c:v>
                </c:pt>
                <c:pt idx="11">
                  <c:v>3.1954338352368198E-4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1B6-44FA-B163-D2897382F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Average Weekly Traffic Variation - KNBP Hoima Rd to Bwaise</a:t>
            </a:r>
            <a:r>
              <a:rPr lang="en-US" baseline="0"/>
              <a:t> Junction</a:t>
            </a:r>
            <a:r>
              <a:rPr lang="en-US"/>
              <a:t>  </a:t>
            </a:r>
            <a:endParaRPr lang="x-none"/>
          </a:p>
        </c:rich>
      </c:tx>
      <c:layout>
        <c:manualLayout>
          <c:xMode val="edge"/>
          <c:yMode val="edge"/>
          <c:x val="0.1679830179711935"/>
          <c:y val="3.81523297491039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530571164873657"/>
          <c:y val="0.11628741039426524"/>
          <c:w val="0.83668647463672186"/>
          <c:h val="0.7138552867383513"/>
        </c:manualLayout>
      </c:layout>
      <c:lineChart>
        <c:grouping val="standard"/>
        <c:varyColors val="0"/>
        <c:ser>
          <c:idx val="0"/>
          <c:order val="0"/>
          <c:tx>
            <c:strRef>
              <c:f>'20-26-BWAISE -HOIMA RBT 2DIR'!$O$9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'20-26-BWAISE -HOIMA RBT 2DIR'!$B$10:$B$16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'20-26-BWAISE -HOIMA RBT 2DIR'!$O$10:$O$16</c:f>
              <c:numCache>
                <c:formatCode>0</c:formatCode>
                <c:ptCount val="7"/>
                <c:pt idx="0">
                  <c:v>36754.999999999993</c:v>
                </c:pt>
                <c:pt idx="1">
                  <c:v>38025.999999999993</c:v>
                </c:pt>
                <c:pt idx="2">
                  <c:v>40427.999999999993</c:v>
                </c:pt>
                <c:pt idx="3">
                  <c:v>40437.999999999993</c:v>
                </c:pt>
                <c:pt idx="4">
                  <c:v>43319.999999999978</c:v>
                </c:pt>
                <c:pt idx="5">
                  <c:v>39987.999999999985</c:v>
                </c:pt>
                <c:pt idx="6">
                  <c:v>37656.999999999985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3A-462A-B2C1-887383EF2759}"/>
            </c:ext>
          </c:extLst>
        </c:ser>
        <c:ser>
          <c:idx val="1"/>
          <c:order val="1"/>
          <c:tx>
            <c:strRef>
              <c:f>'20-26-BWAISE -HOIMA RBT 2DIR'!$P$9</c:f>
              <c:strCache>
                <c:ptCount val="1"/>
                <c:pt idx="0">
                  <c:v> Total All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6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'20-26-BWAISE -HOIMA RBT 2DIR'!$B$10:$B$16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'20-26-BWAISE -HOIMA RBT 2DIR'!$P$10:$P$16</c:f>
              <c:numCache>
                <c:formatCode>0</c:formatCode>
                <c:ptCount val="7"/>
                <c:pt idx="0">
                  <c:v>58596.999999999993</c:v>
                </c:pt>
                <c:pt idx="1">
                  <c:v>57354.999999999985</c:v>
                </c:pt>
                <c:pt idx="2">
                  <c:v>60633.999999999985</c:v>
                </c:pt>
                <c:pt idx="3">
                  <c:v>60413.999999999993</c:v>
                </c:pt>
                <c:pt idx="4">
                  <c:v>65978.999999999985</c:v>
                </c:pt>
                <c:pt idx="5">
                  <c:v>62583.999999999993</c:v>
                </c:pt>
                <c:pt idx="6">
                  <c:v>58240.999999999985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3A-462A-B2C1-887383EF2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091792"/>
        <c:axId val="802094512"/>
      </c:lineChart>
      <c:catAx>
        <c:axId val="80209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802094512"/>
        <c:crosses val="autoZero"/>
        <c:auto val="1"/>
        <c:lblAlgn val="ctr"/>
        <c:lblOffset val="100"/>
        <c:noMultiLvlLbl val="0"/>
      </c:catAx>
      <c:valAx>
        <c:axId val="802094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Traffic Volume </a:t>
                </a:r>
              </a:p>
            </c:rich>
          </c:tx>
          <c:layout>
            <c:manualLayout>
              <c:xMode val="edge"/>
              <c:yMode val="edge"/>
              <c:x val="3.8524390803635393E-2"/>
              <c:y val="0.36509397515112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80209179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Including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66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77465720024135E-2"/>
          <c:y val="8.013560502587487E-2"/>
          <c:w val="0.87655985254857882"/>
          <c:h val="0.80325343229815682"/>
        </c:manualLayout>
      </c:layout>
      <c:pie3DChart>
        <c:varyColors val="1"/>
        <c:ser>
          <c:idx val="0"/>
          <c:order val="0"/>
          <c:tx>
            <c:strRef>
              <c:f>'20-26-BWAISE -HOIMA RBT 2DIR'!$C$18:$N$18</c:f>
              <c:strCache>
                <c:ptCount val="12"/>
                <c:pt idx="0">
                  <c:v>35%</c:v>
                </c:pt>
                <c:pt idx="1">
                  <c:v>30%</c:v>
                </c:pt>
                <c:pt idx="2">
                  <c:v>5%</c:v>
                </c:pt>
                <c:pt idx="3">
                  <c:v>4%</c:v>
                </c:pt>
                <c:pt idx="4">
                  <c:v>12%</c:v>
                </c:pt>
                <c:pt idx="5">
                  <c:v>1%</c:v>
                </c:pt>
                <c:pt idx="6">
                  <c:v>0%</c:v>
                </c:pt>
                <c:pt idx="7">
                  <c:v>5%</c:v>
                </c:pt>
                <c:pt idx="8">
                  <c:v>4%</c:v>
                </c:pt>
                <c:pt idx="9">
                  <c:v>2%</c:v>
                </c:pt>
                <c:pt idx="10">
                  <c:v>2%</c:v>
                </c:pt>
                <c:pt idx="11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A87-474D-A07D-3A9FA6A92E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A87-474D-A07D-3A9FA6A92E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A87-474D-A07D-3A9FA6A92E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A87-474D-A07D-3A9FA6A92E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A87-474D-A07D-3A9FA6A92E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A87-474D-A07D-3A9FA6A92E2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A87-474D-A07D-3A9FA6A92E2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A87-474D-A07D-3A9FA6A92E2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A87-474D-A07D-3A9FA6A92E2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A87-474D-A07D-3A9FA6A92E2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A87-474D-A07D-3A9FA6A92E2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A87-474D-A07D-3A9FA6A92E2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A87-474D-A07D-3A9FA6A92E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'20-26-BWAISE -HOIMA RBT 2DIR'!$C$9:$N$9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Munyonyo-Kibuye-2Dir'!$C$107:$N$107</c:f>
              <c:numCache>
                <c:formatCode>General</c:formatCode>
                <c:ptCount val="12"/>
                <c:pt idx="0">
                  <c:v>0.12930183209716614</c:v>
                </c:pt>
                <c:pt idx="1">
                  <c:v>4.7988984766631639E-2</c:v>
                </c:pt>
                <c:pt idx="2">
                  <c:v>1.3401469889907276E-2</c:v>
                </c:pt>
                <c:pt idx="3">
                  <c:v>0.15237739492909838</c:v>
                </c:pt>
                <c:pt idx="4">
                  <c:v>1.6530797551375614E-3</c:v>
                </c:pt>
                <c:pt idx="5">
                  <c:v>3.3379495055662294E-4</c:v>
                </c:pt>
                <c:pt idx="6">
                  <c:v>1.1366910191276423E-2</c:v>
                </c:pt>
                <c:pt idx="7">
                  <c:v>2.1160215615643068E-3</c:v>
                </c:pt>
                <c:pt idx="8">
                  <c:v>1.8398459774728146E-3</c:v>
                </c:pt>
                <c:pt idx="9">
                  <c:v>1.4106810410428709E-4</c:v>
                </c:pt>
                <c:pt idx="10">
                  <c:v>0.63936435904415434</c:v>
                </c:pt>
                <c:pt idx="11">
                  <c:v>1.1523873293026267E-4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A87-474D-A07D-3A9FA6A92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Excluding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21349354452078E-2"/>
          <c:y val="0.20025731425750379"/>
          <c:w val="0.83261086583830202"/>
          <c:h val="0.76871916342946045"/>
        </c:manualLayout>
      </c:layout>
      <c:pie3DChart>
        <c:varyColors val="1"/>
        <c:ser>
          <c:idx val="0"/>
          <c:order val="0"/>
          <c:tx>
            <c:strRef>
              <c:f>'20-26-BWAISE -HOIMA RBT 2DIR'!$D$19:$N$19</c:f>
              <c:strCache>
                <c:ptCount val="11"/>
                <c:pt idx="0">
                  <c:v>46%</c:v>
                </c:pt>
                <c:pt idx="1">
                  <c:v>7%</c:v>
                </c:pt>
                <c:pt idx="2">
                  <c:v>7%</c:v>
                </c:pt>
                <c:pt idx="3">
                  <c:v>19%</c:v>
                </c:pt>
                <c:pt idx="4">
                  <c:v>1%</c:v>
                </c:pt>
                <c:pt idx="5">
                  <c:v>0%</c:v>
                </c:pt>
                <c:pt idx="6">
                  <c:v>7%</c:v>
                </c:pt>
                <c:pt idx="7">
                  <c:v>6%</c:v>
                </c:pt>
                <c:pt idx="8">
                  <c:v>3%</c:v>
                </c:pt>
                <c:pt idx="9">
                  <c:v>3%</c:v>
                </c:pt>
                <c:pt idx="10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632-416E-954D-07E3046D5C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632-416E-954D-07E3046D5C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632-416E-954D-07E3046D5C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632-416E-954D-07E3046D5C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632-416E-954D-07E3046D5CB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632-416E-954D-07E3046D5CB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632-416E-954D-07E3046D5CB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632-416E-954D-07E3046D5CB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632-416E-954D-07E3046D5CB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632-416E-954D-07E3046D5CB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632-416E-954D-07E3046D5CB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632-416E-954D-07E3046D5CB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632-416E-954D-07E3046D5C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'20-26-BWAISE -HOIMA RBT 2DIR'!$C$9:$N$9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Munyonyo-Kibuye-2Dir'!$C$108:$N$108</c:f>
              <c:numCache>
                <c:formatCode>General</c:formatCode>
                <c:ptCount val="12"/>
                <c:pt idx="0">
                  <c:v>0.35853869505093411</c:v>
                </c:pt>
                <c:pt idx="1">
                  <c:v>0.13306778176288778</c:v>
                </c:pt>
                <c:pt idx="2">
                  <c:v>3.7160691756331646E-2</c:v>
                </c:pt>
                <c:pt idx="3">
                  <c:v>0.42252450291721066</c:v>
                </c:pt>
                <c:pt idx="4">
                  <c:v>4.5837947429604037E-3</c:v>
                </c:pt>
                <c:pt idx="5">
                  <c:v>9.2557393848238909E-4</c:v>
                </c:pt>
                <c:pt idx="6">
                  <c:v>3.1519098226534203E-2</c:v>
                </c:pt>
                <c:pt idx="7">
                  <c:v>5.8674776457365756E-3</c:v>
                </c:pt>
                <c:pt idx="8">
                  <c:v>5.1016753990160259E-3</c:v>
                </c:pt>
                <c:pt idx="9">
                  <c:v>3.9116517638243829E-4</c:v>
                </c:pt>
                <c:pt idx="10">
                  <c:v>3.9116502739489079E-4</c:v>
                </c:pt>
                <c:pt idx="11">
                  <c:v>3.1954338352368198E-4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632-416E-954D-07E3046D5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20</xdr:row>
      <xdr:rowOff>31750</xdr:rowOff>
    </xdr:from>
    <xdr:to>
      <xdr:col>9</xdr:col>
      <xdr:colOff>0</xdr:colOff>
      <xdr:row>35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971549</xdr:colOff>
      <xdr:row>19</xdr:row>
      <xdr:rowOff>253999</xdr:rowOff>
    </xdr:from>
    <xdr:to>
      <xdr:col>22</xdr:col>
      <xdr:colOff>396875</xdr:colOff>
      <xdr:row>39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20</xdr:row>
      <xdr:rowOff>15875</xdr:rowOff>
    </xdr:from>
    <xdr:to>
      <xdr:col>14</xdr:col>
      <xdr:colOff>793750</xdr:colOff>
      <xdr:row>39</xdr:row>
      <xdr:rowOff>269875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20</xdr:row>
      <xdr:rowOff>31750</xdr:rowOff>
    </xdr:from>
    <xdr:to>
      <xdr:col>9</xdr:col>
      <xdr:colOff>0</xdr:colOff>
      <xdr:row>39</xdr:row>
      <xdr:rowOff>206375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971549</xdr:colOff>
      <xdr:row>19</xdr:row>
      <xdr:rowOff>253999</xdr:rowOff>
    </xdr:from>
    <xdr:to>
      <xdr:col>22</xdr:col>
      <xdr:colOff>396875</xdr:colOff>
      <xdr:row>39</xdr:row>
      <xdr:rowOff>269875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20</xdr:row>
      <xdr:rowOff>15875</xdr:rowOff>
    </xdr:from>
    <xdr:to>
      <xdr:col>14</xdr:col>
      <xdr:colOff>793750</xdr:colOff>
      <xdr:row>39</xdr:row>
      <xdr:rowOff>269875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301623</xdr:colOff>
      <xdr:row>19</xdr:row>
      <xdr:rowOff>254000</xdr:rowOff>
    </xdr:from>
    <xdr:to>
      <xdr:col>9</xdr:col>
      <xdr:colOff>906623</xdr:colOff>
      <xdr:row>35</xdr:row>
      <xdr:rowOff>182000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50798</xdr:colOff>
      <xdr:row>19</xdr:row>
      <xdr:rowOff>238124</xdr:rowOff>
    </xdr:from>
    <xdr:to>
      <xdr:col>22</xdr:col>
      <xdr:colOff>482173</xdr:colOff>
      <xdr:row>35</xdr:row>
      <xdr:rowOff>166124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968375</xdr:colOff>
      <xdr:row>19</xdr:row>
      <xdr:rowOff>254000</xdr:rowOff>
    </xdr:from>
    <xdr:to>
      <xdr:col>15</xdr:col>
      <xdr:colOff>2750</xdr:colOff>
      <xdr:row>35</xdr:row>
      <xdr:rowOff>182000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.O/Desktop/STN-C1-RD-1A-SALAMA%20ROAD/MCC%20DATA/MCC-C1-STN1A-%20SALAMA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proportions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07">
          <cell r="C107">
            <v>0.12930183209716614</v>
          </cell>
          <cell r="D107">
            <v>4.7988984766631639E-2</v>
          </cell>
          <cell r="E107">
            <v>1.3401469889907276E-2</v>
          </cell>
          <cell r="F107">
            <v>0.15237739492909838</v>
          </cell>
          <cell r="G107">
            <v>1.6530797551375614E-3</v>
          </cell>
          <cell r="H107">
            <v>3.3379495055662294E-4</v>
          </cell>
          <cell r="I107">
            <v>1.1366910191276423E-2</v>
          </cell>
          <cell r="J107">
            <v>2.1160215615643068E-3</v>
          </cell>
          <cell r="K107">
            <v>1.8398459774728146E-3</v>
          </cell>
          <cell r="L107">
            <v>1.4106810410428709E-4</v>
          </cell>
          <cell r="M107">
            <v>0.63936435904415434</v>
          </cell>
          <cell r="N107">
            <v>1.1523873293026267E-4</v>
          </cell>
        </row>
        <row r="108">
          <cell r="C108">
            <v>0.35853869505093411</v>
          </cell>
          <cell r="D108">
            <v>0.13306778176288778</v>
          </cell>
          <cell r="E108">
            <v>3.7160691756331646E-2</v>
          </cell>
          <cell r="F108">
            <v>0.42252450291721066</v>
          </cell>
          <cell r="G108">
            <v>4.5837947429604037E-3</v>
          </cell>
          <cell r="H108">
            <v>9.2557393848238909E-4</v>
          </cell>
          <cell r="I108">
            <v>3.1519098226534203E-2</v>
          </cell>
          <cell r="J108">
            <v>5.8674776457365756E-3</v>
          </cell>
          <cell r="K108">
            <v>5.1016753990160259E-3</v>
          </cell>
          <cell r="L108">
            <v>3.9116517638243829E-4</v>
          </cell>
          <cell r="M108">
            <v>3.9116502739489079E-4</v>
          </cell>
          <cell r="N108">
            <v>3.1954338352368198E-4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B1:AD151"/>
  <sheetViews>
    <sheetView view="pageBreakPreview" zoomScale="60" workbookViewId="0">
      <selection activeCell="D10" sqref="D10:N16"/>
    </sheetView>
  </sheetViews>
  <sheetFormatPr defaultColWidth="15" defaultRowHeight="20.100000000000001" customHeight="1" x14ac:dyDescent="0.25"/>
  <cols>
    <col min="1" max="1" width="4.85546875" customWidth="1"/>
    <col min="2" max="2" width="19.570312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5.7109375" customWidth="1"/>
    <col min="10" max="10" width="18.42578125" customWidth="1"/>
    <col min="11" max="11" width="20.42578125" customWidth="1"/>
    <col min="12" max="12" width="19.28515625" customWidth="1"/>
    <col min="13" max="13" width="14.5703125" customWidth="1"/>
    <col min="14" max="14" width="16.28515625" customWidth="1"/>
    <col min="15" max="15" width="14.85546875" customWidth="1"/>
    <col min="16" max="16" width="14.28515625" customWidth="1"/>
    <col min="17" max="17" width="14.7109375" customWidth="1"/>
    <col min="18" max="19" width="10.7109375" style="2" customWidth="1"/>
    <col min="20" max="32" width="10.7109375" customWidth="1"/>
  </cols>
  <sheetData>
    <row r="1" spans="2:30" ht="23.25" customHeight="1" x14ac:dyDescent="0.3"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2:30" ht="20.100000000000001" customHeight="1" x14ac:dyDescent="0.25">
      <c r="B2" s="31" t="s">
        <v>25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2:30" ht="20.100000000000001" customHeight="1" x14ac:dyDescent="0.25">
      <c r="B3" s="1" t="s">
        <v>1</v>
      </c>
      <c r="C3" s="34" t="s">
        <v>29</v>
      </c>
      <c r="D3" s="34"/>
      <c r="E3" s="34"/>
      <c r="F3" s="34"/>
      <c r="G3" s="15"/>
      <c r="H3" s="15"/>
      <c r="I3" s="15"/>
      <c r="J3" s="15"/>
      <c r="K3" s="1"/>
      <c r="L3" s="1"/>
      <c r="M3" s="1"/>
      <c r="N3" s="1"/>
      <c r="O3" s="1"/>
      <c r="P3" s="1"/>
    </row>
    <row r="4" spans="2:30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0" ht="20.100000000000001" customHeight="1" x14ac:dyDescent="0.25">
      <c r="C5" s="3" t="s">
        <v>2</v>
      </c>
      <c r="D5" s="33" t="s">
        <v>30</v>
      </c>
      <c r="E5" s="33"/>
      <c r="F5" s="4" t="s">
        <v>3</v>
      </c>
      <c r="G5" s="35"/>
      <c r="H5" s="36"/>
      <c r="I5" s="5"/>
      <c r="J5" s="3" t="s">
        <v>4</v>
      </c>
      <c r="K5" s="35" t="s">
        <v>14</v>
      </c>
      <c r="L5" s="36"/>
      <c r="M5" s="2"/>
      <c r="N5" s="2"/>
    </row>
    <row r="6" spans="2:30" ht="23.25" customHeight="1" x14ac:dyDescent="0.25">
      <c r="C6" s="3" t="s">
        <v>5</v>
      </c>
      <c r="D6" s="37" t="s">
        <v>27</v>
      </c>
      <c r="E6" s="38"/>
      <c r="F6" s="3" t="s">
        <v>6</v>
      </c>
      <c r="G6" s="37" t="s">
        <v>28</v>
      </c>
      <c r="H6" s="38"/>
      <c r="J6" s="3" t="s">
        <v>7</v>
      </c>
      <c r="K6" s="37" t="s">
        <v>13</v>
      </c>
      <c r="L6" s="38"/>
      <c r="M6" s="2"/>
      <c r="N6" s="2"/>
    </row>
    <row r="7" spans="2:30" ht="20.100000000000001" customHeight="1" x14ac:dyDescent="0.25">
      <c r="D7" s="2"/>
      <c r="E7" s="2"/>
      <c r="R7"/>
      <c r="S7"/>
    </row>
    <row r="8" spans="2:30" ht="50.25" customHeight="1" x14ac:dyDescent="0.25">
      <c r="C8" s="32" t="s">
        <v>9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R8"/>
      <c r="S8"/>
    </row>
    <row r="9" spans="2:30" ht="98.25" customHeight="1" x14ac:dyDescent="0.25">
      <c r="B9" s="14" t="s">
        <v>8</v>
      </c>
      <c r="C9" s="27" t="s">
        <v>15</v>
      </c>
      <c r="D9" s="27" t="s">
        <v>32</v>
      </c>
      <c r="E9" s="27" t="s">
        <v>33</v>
      </c>
      <c r="F9" s="27" t="s">
        <v>34</v>
      </c>
      <c r="G9" s="27" t="s">
        <v>35</v>
      </c>
      <c r="H9" s="27" t="s">
        <v>36</v>
      </c>
      <c r="I9" s="27" t="s">
        <v>37</v>
      </c>
      <c r="J9" s="27" t="s">
        <v>38</v>
      </c>
      <c r="K9" s="27" t="s">
        <v>39</v>
      </c>
      <c r="L9" s="27" t="s">
        <v>40</v>
      </c>
      <c r="M9" s="27" t="s">
        <v>41</v>
      </c>
      <c r="N9" s="27" t="s">
        <v>42</v>
      </c>
      <c r="O9" s="7" t="s">
        <v>10</v>
      </c>
      <c r="P9" s="7" t="s">
        <v>24</v>
      </c>
      <c r="R9"/>
      <c r="S9"/>
    </row>
    <row r="10" spans="2:30" ht="23.1" customHeight="1" x14ac:dyDescent="0.25">
      <c r="B10" s="6" t="s">
        <v>16</v>
      </c>
      <c r="C10" s="23">
        <v>9218</v>
      </c>
      <c r="D10" s="8">
        <f>$O10*D$20</f>
        <v>7225.5503413314236</v>
      </c>
      <c r="E10" s="8">
        <f t="shared" ref="E10:N16" si="0">$O10*E$20</f>
        <v>1118.1239802820842</v>
      </c>
      <c r="F10" s="8">
        <f t="shared" si="0"/>
        <v>1021.3045422737802</v>
      </c>
      <c r="G10" s="8">
        <f t="shared" si="0"/>
        <v>2953.8166482653514</v>
      </c>
      <c r="H10" s="8">
        <f t="shared" si="0"/>
        <v>188.84151647565582</v>
      </c>
      <c r="I10" s="8">
        <f t="shared" si="0"/>
        <v>63.092546690095929</v>
      </c>
      <c r="J10" s="8">
        <f t="shared" si="0"/>
        <v>1143.2253160620148</v>
      </c>
      <c r="K10" s="8">
        <f t="shared" si="0"/>
        <v>943.57762607492157</v>
      </c>
      <c r="L10" s="8">
        <f t="shared" si="0"/>
        <v>418.33944360645029</v>
      </c>
      <c r="M10" s="8">
        <f t="shared" si="0"/>
        <v>504.40116628049822</v>
      </c>
      <c r="N10" s="8">
        <f t="shared" si="0"/>
        <v>0.7268726577199992</v>
      </c>
      <c r="O10" s="9">
        <v>15581</v>
      </c>
      <c r="P10" s="9">
        <f>SUM(C10:N10)</f>
        <v>24798.999999999996</v>
      </c>
      <c r="R10"/>
      <c r="S10"/>
    </row>
    <row r="11" spans="2:30" s="10" customFormat="1" ht="23.1" customHeight="1" x14ac:dyDescent="0.25">
      <c r="B11" s="6" t="s">
        <v>20</v>
      </c>
      <c r="C11" s="24">
        <v>9320</v>
      </c>
      <c r="D11" s="8">
        <f t="shared" ref="D11:D16" si="1">$O11*D$20</f>
        <v>8783.2567527640822</v>
      </c>
      <c r="E11" s="8">
        <f t="shared" si="0"/>
        <v>1359.1725939633318</v>
      </c>
      <c r="F11" s="8">
        <f t="shared" si="0"/>
        <v>1241.480523115679</v>
      </c>
      <c r="G11" s="8">
        <f t="shared" si="0"/>
        <v>3590.6095448395963</v>
      </c>
      <c r="H11" s="8">
        <f t="shared" si="0"/>
        <v>229.55255259925045</v>
      </c>
      <c r="I11" s="8">
        <f t="shared" si="0"/>
        <v>76.694232354176052</v>
      </c>
      <c r="J11" s="8">
        <f t="shared" si="0"/>
        <v>1389.6853530719825</v>
      </c>
      <c r="K11" s="8">
        <f t="shared" si="0"/>
        <v>1146.9969987715176</v>
      </c>
      <c r="L11" s="8">
        <f t="shared" si="0"/>
        <v>508.52635016405674</v>
      </c>
      <c r="M11" s="8">
        <f t="shared" si="0"/>
        <v>613.14152425085911</v>
      </c>
      <c r="N11" s="8">
        <f t="shared" si="0"/>
        <v>0.88357410546285764</v>
      </c>
      <c r="O11" s="9">
        <v>18940</v>
      </c>
      <c r="P11" s="9">
        <f t="shared" ref="P11:P16" si="2">SUM(C11:N11)</f>
        <v>28260</v>
      </c>
    </row>
    <row r="12" spans="2:30" ht="23.1" customHeight="1" x14ac:dyDescent="0.25">
      <c r="B12" s="6" t="s">
        <v>21</v>
      </c>
      <c r="C12" s="23">
        <v>8499</v>
      </c>
      <c r="D12" s="8">
        <f t="shared" si="1"/>
        <v>9209.4348391310414</v>
      </c>
      <c r="E12" s="8">
        <f t="shared" si="0"/>
        <v>1425.1218871973499</v>
      </c>
      <c r="F12" s="8">
        <f t="shared" si="0"/>
        <v>1301.7192031971631</v>
      </c>
      <c r="G12" s="8">
        <f t="shared" si="0"/>
        <v>3764.8318347924787</v>
      </c>
      <c r="H12" s="8">
        <f t="shared" si="0"/>
        <v>240.69082059495855</v>
      </c>
      <c r="I12" s="8">
        <f t="shared" si="0"/>
        <v>80.415562846968427</v>
      </c>
      <c r="J12" s="8">
        <f t="shared" si="0"/>
        <v>1457.1151756418426</v>
      </c>
      <c r="K12" s="8">
        <f t="shared" si="0"/>
        <v>1202.6511826084247</v>
      </c>
      <c r="L12" s="8">
        <f t="shared" si="0"/>
        <v>533.20088637317861</v>
      </c>
      <c r="M12" s="8">
        <f t="shared" si="0"/>
        <v>642.89216104001116</v>
      </c>
      <c r="N12" s="8">
        <f t="shared" si="0"/>
        <v>0.92644657657797735</v>
      </c>
      <c r="O12" s="9">
        <v>19859</v>
      </c>
      <c r="P12" s="9">
        <f t="shared" si="2"/>
        <v>28357.999999999996</v>
      </c>
      <c r="R12"/>
      <c r="S12"/>
    </row>
    <row r="13" spans="2:30" ht="23.1" customHeight="1" x14ac:dyDescent="0.25">
      <c r="B13" s="6" t="s">
        <v>17</v>
      </c>
      <c r="C13" s="23">
        <v>8278</v>
      </c>
      <c r="D13" s="8">
        <f t="shared" si="1"/>
        <v>9561.8780879219958</v>
      </c>
      <c r="E13" s="8">
        <f t="shared" si="0"/>
        <v>1479.6610197956672</v>
      </c>
      <c r="F13" s="8">
        <f t="shared" si="0"/>
        <v>1351.5357394995874</v>
      </c>
      <c r="G13" s="8">
        <f t="shared" si="0"/>
        <v>3908.9112040679852</v>
      </c>
      <c r="H13" s="8">
        <f t="shared" si="0"/>
        <v>249.90201066757893</v>
      </c>
      <c r="I13" s="8">
        <f t="shared" si="0"/>
        <v>83.493050523271165</v>
      </c>
      <c r="J13" s="8">
        <f t="shared" si="0"/>
        <v>1512.8786850576139</v>
      </c>
      <c r="K13" s="8">
        <f t="shared" si="0"/>
        <v>1248.6764053679999</v>
      </c>
      <c r="L13" s="8">
        <f t="shared" si="0"/>
        <v>553.60637877680495</v>
      </c>
      <c r="M13" s="8">
        <f t="shared" si="0"/>
        <v>667.49551681776472</v>
      </c>
      <c r="N13" s="8">
        <f t="shared" si="0"/>
        <v>0.96190150372432226</v>
      </c>
      <c r="O13" s="9">
        <v>20619</v>
      </c>
      <c r="P13" s="9">
        <f t="shared" si="2"/>
        <v>28896.999999999993</v>
      </c>
      <c r="R13"/>
      <c r="S13"/>
    </row>
    <row r="14" spans="2:30" ht="23.1" customHeight="1" x14ac:dyDescent="0.25">
      <c r="B14" s="6" t="s">
        <v>18</v>
      </c>
      <c r="C14" s="23">
        <v>10252</v>
      </c>
      <c r="D14" s="8">
        <f t="shared" si="1"/>
        <v>10179.117514422998</v>
      </c>
      <c r="E14" s="8">
        <f t="shared" si="0"/>
        <v>1575.1762638592995</v>
      </c>
      <c r="F14" s="8">
        <f t="shared" si="0"/>
        <v>1438.7802261029121</v>
      </c>
      <c r="G14" s="8">
        <f t="shared" si="0"/>
        <v>4161.2396784175899</v>
      </c>
      <c r="H14" s="8">
        <f t="shared" si="0"/>
        <v>266.03371328160227</v>
      </c>
      <c r="I14" s="8">
        <f t="shared" si="0"/>
        <v>88.882703282690827</v>
      </c>
      <c r="J14" s="8">
        <f t="shared" si="0"/>
        <v>1610.5381995739185</v>
      </c>
      <c r="K14" s="8">
        <f t="shared" si="0"/>
        <v>1329.2811047008875</v>
      </c>
      <c r="L14" s="8">
        <f t="shared" si="0"/>
        <v>589.34283981526119</v>
      </c>
      <c r="M14" s="8">
        <f t="shared" si="0"/>
        <v>710.58376226538326</v>
      </c>
      <c r="N14" s="8">
        <f t="shared" si="0"/>
        <v>1.0239942774503552</v>
      </c>
      <c r="O14" s="9">
        <v>21950</v>
      </c>
      <c r="P14" s="9">
        <f t="shared" si="2"/>
        <v>32201.999999999996</v>
      </c>
      <c r="R14"/>
      <c r="S14"/>
    </row>
    <row r="15" spans="2:30" ht="23.1" customHeight="1" x14ac:dyDescent="0.25">
      <c r="B15" s="6" t="s">
        <v>19</v>
      </c>
      <c r="C15" s="23">
        <v>9968</v>
      </c>
      <c r="D15" s="8">
        <f t="shared" si="1"/>
        <v>8103.8760166078318</v>
      </c>
      <c r="E15" s="8">
        <f t="shared" si="0"/>
        <v>1254.0412396784172</v>
      </c>
      <c r="F15" s="8">
        <f t="shared" si="0"/>
        <v>1145.4525945853479</v>
      </c>
      <c r="G15" s="8">
        <f t="shared" si="0"/>
        <v>3312.8776027493109</v>
      </c>
      <c r="H15" s="8">
        <f t="shared" si="0"/>
        <v>211.79677173558088</v>
      </c>
      <c r="I15" s="8">
        <f t="shared" si="0"/>
        <v>70.76196992551354</v>
      </c>
      <c r="J15" s="8">
        <f t="shared" si="0"/>
        <v>1282.193851369213</v>
      </c>
      <c r="K15" s="8">
        <f t="shared" si="0"/>
        <v>1058.2773259520734</v>
      </c>
      <c r="L15" s="8">
        <f t="shared" si="0"/>
        <v>469.19207862285595</v>
      </c>
      <c r="M15" s="8">
        <f t="shared" si="0"/>
        <v>565.71531870558408</v>
      </c>
      <c r="N15" s="8">
        <f t="shared" si="0"/>
        <v>0.81523006826628497</v>
      </c>
      <c r="O15" s="9">
        <v>17475</v>
      </c>
      <c r="P15" s="9">
        <f t="shared" si="2"/>
        <v>27442.999999999993</v>
      </c>
      <c r="R15"/>
      <c r="S15"/>
    </row>
    <row r="16" spans="2:30" ht="23.1" customHeight="1" x14ac:dyDescent="0.25">
      <c r="B16" s="6" t="s">
        <v>22</v>
      </c>
      <c r="C16" s="24">
        <v>9708</v>
      </c>
      <c r="D16" s="8">
        <f t="shared" si="1"/>
        <v>8429.4222806226353</v>
      </c>
      <c r="E16" s="8">
        <f t="shared" si="0"/>
        <v>1304.4181753152841</v>
      </c>
      <c r="F16" s="8">
        <f t="shared" si="0"/>
        <v>1191.4673425910084</v>
      </c>
      <c r="G16" s="8">
        <f t="shared" si="0"/>
        <v>3445.9614412116866</v>
      </c>
      <c r="H16" s="8">
        <f t="shared" si="0"/>
        <v>220.30500256581709</v>
      </c>
      <c r="I16" s="8">
        <f t="shared" si="0"/>
        <v>73.6045967002037</v>
      </c>
      <c r="J16" s="8">
        <f t="shared" si="0"/>
        <v>1333.7017245400964</v>
      </c>
      <c r="K16" s="8">
        <f t="shared" si="0"/>
        <v>1100.7900975010493</v>
      </c>
      <c r="L16" s="8">
        <f t="shared" si="0"/>
        <v>488.0403097641003</v>
      </c>
      <c r="M16" s="8">
        <f t="shared" si="0"/>
        <v>588.44104996345652</v>
      </c>
      <c r="N16" s="8">
        <f t="shared" si="0"/>
        <v>0.8479792246567246</v>
      </c>
      <c r="O16" s="9">
        <v>18177</v>
      </c>
      <c r="P16" s="9">
        <f t="shared" si="2"/>
        <v>27884.999999999993</v>
      </c>
      <c r="R16"/>
      <c r="S16"/>
    </row>
    <row r="17" spans="2:19" ht="37.5" customHeight="1" x14ac:dyDescent="0.25">
      <c r="B17" s="16" t="s">
        <v>23</v>
      </c>
      <c r="C17" s="11">
        <f>AVERAGE(C10:C16)</f>
        <v>9320.4285714285706</v>
      </c>
      <c r="D17" s="11">
        <f t="shared" ref="D17:N17" si="3">AVERAGE(D10:D16)</f>
        <v>8784.6479761145729</v>
      </c>
      <c r="E17" s="11">
        <f t="shared" si="3"/>
        <v>1359.3878800130622</v>
      </c>
      <c r="F17" s="11">
        <f t="shared" si="3"/>
        <v>1241.6771673379255</v>
      </c>
      <c r="G17" s="11">
        <f t="shared" si="3"/>
        <v>3591.178279192</v>
      </c>
      <c r="H17" s="11">
        <f t="shared" si="3"/>
        <v>229.58891256006345</v>
      </c>
      <c r="I17" s="11">
        <f t="shared" si="3"/>
        <v>76.706380331845665</v>
      </c>
      <c r="J17" s="11">
        <f t="shared" si="3"/>
        <v>1389.9054721880973</v>
      </c>
      <c r="K17" s="11">
        <f t="shared" si="3"/>
        <v>1147.1786772824107</v>
      </c>
      <c r="L17" s="11">
        <f t="shared" si="3"/>
        <v>508.60689816038683</v>
      </c>
      <c r="M17" s="11">
        <f t="shared" si="3"/>
        <v>613.23864276050813</v>
      </c>
      <c r="N17" s="11">
        <f t="shared" si="3"/>
        <v>0.88371405912264589</v>
      </c>
      <c r="O17" s="12">
        <f>AVERAGE(O10:O16)</f>
        <v>18943</v>
      </c>
      <c r="P17" s="12">
        <f>AVERAGE(P10:P16)</f>
        <v>28263.428571428572</v>
      </c>
      <c r="R17"/>
      <c r="S17"/>
    </row>
    <row r="18" spans="2:19" ht="23.1" customHeight="1" x14ac:dyDescent="0.25">
      <c r="B18" s="18" t="s">
        <v>11</v>
      </c>
      <c r="C18" s="17">
        <f>C$17/P$17</f>
        <v>0.32976991973474046</v>
      </c>
      <c r="D18" s="17">
        <f>D17/$P$17</f>
        <v>0.31081324595540938</v>
      </c>
      <c r="E18" s="17">
        <f>E17/$P$17</f>
        <v>4.8097062130220955E-2</v>
      </c>
      <c r="F18" s="17">
        <f t="shared" ref="F18:N18" si="4">F17/$P$17</f>
        <v>4.3932290953304011E-2</v>
      </c>
      <c r="G18" s="17">
        <f t="shared" si="4"/>
        <v>0.12706095688696145</v>
      </c>
      <c r="H18" s="17">
        <f t="shared" si="4"/>
        <v>8.1231798180406989E-3</v>
      </c>
      <c r="I18" s="17">
        <f t="shared" si="4"/>
        <v>2.7139800161891168E-3</v>
      </c>
      <c r="J18" s="17">
        <f t="shared" si="4"/>
        <v>4.9176817620532748E-2</v>
      </c>
      <c r="K18" s="17">
        <f t="shared" si="4"/>
        <v>4.0588800979442764E-2</v>
      </c>
      <c r="L18" s="17">
        <f t="shared" si="4"/>
        <v>1.7995230015177149E-2</v>
      </c>
      <c r="M18" s="17">
        <f t="shared" si="4"/>
        <v>2.1697248839103317E-2</v>
      </c>
      <c r="N18" s="17">
        <f t="shared" si="4"/>
        <v>3.1267050877754799E-5</v>
      </c>
      <c r="O18" s="12">
        <f>SUM(O10:O16)</f>
        <v>132601</v>
      </c>
      <c r="P18" s="12">
        <f>SUM(P10:P16)</f>
        <v>197844</v>
      </c>
      <c r="R18"/>
      <c r="S18"/>
    </row>
    <row r="19" spans="2:19" ht="23.1" customHeight="1" x14ac:dyDescent="0.25">
      <c r="B19" s="19" t="s">
        <v>12</v>
      </c>
      <c r="C19" s="17"/>
      <c r="D19" s="17">
        <f t="shared" ref="D19:N19" si="5">D$17/$O$17</f>
        <v>0.46374111683020497</v>
      </c>
      <c r="E19" s="17">
        <f t="shared" si="5"/>
        <v>7.1762016576733478E-2</v>
      </c>
      <c r="F19" s="17">
        <f t="shared" si="5"/>
        <v>6.5548074082137225E-2</v>
      </c>
      <c r="G19" s="17">
        <f t="shared" si="5"/>
        <v>0.18957811746777173</v>
      </c>
      <c r="H19" s="17">
        <f t="shared" si="5"/>
        <v>1.2119986937658421E-2</v>
      </c>
      <c r="I19" s="17">
        <f t="shared" si="5"/>
        <v>4.0493258898720193E-3</v>
      </c>
      <c r="J19" s="17">
        <f t="shared" si="5"/>
        <v>7.3373038704962118E-2</v>
      </c>
      <c r="K19" s="17">
        <f t="shared" si="5"/>
        <v>6.0559503631019938E-2</v>
      </c>
      <c r="L19" s="17">
        <f t="shared" si="5"/>
        <v>2.6849332110034676E-2</v>
      </c>
      <c r="M19" s="17">
        <f t="shared" si="5"/>
        <v>3.2372836549675772E-2</v>
      </c>
      <c r="N19" s="17">
        <f t="shared" si="5"/>
        <v>4.6651219929401145E-5</v>
      </c>
      <c r="O19" s="12"/>
      <c r="P19" s="12"/>
      <c r="R19"/>
      <c r="S19"/>
    </row>
    <row r="20" spans="2:19" ht="23.1" customHeight="1" x14ac:dyDescent="0.25">
      <c r="D20" s="25">
        <v>0.46374111683020497</v>
      </c>
      <c r="E20" s="25">
        <v>7.1762016576733464E-2</v>
      </c>
      <c r="F20" s="26">
        <v>6.5548074082137225E-2</v>
      </c>
      <c r="G20" s="26">
        <v>0.18957811746777173</v>
      </c>
      <c r="H20" s="26">
        <v>1.2119986937658419E-2</v>
      </c>
      <c r="I20" s="26">
        <v>4.0493258898720193E-3</v>
      </c>
      <c r="J20" s="26">
        <v>7.3373038704962118E-2</v>
      </c>
      <c r="K20" s="26">
        <v>6.0559503631019931E-2</v>
      </c>
      <c r="L20" s="26">
        <v>2.6849332110034676E-2</v>
      </c>
      <c r="M20" s="26">
        <v>3.2372836549675772E-2</v>
      </c>
      <c r="N20" s="26">
        <v>4.6651219929401145E-5</v>
      </c>
      <c r="R20"/>
      <c r="S20"/>
    </row>
    <row r="21" spans="2:19" ht="23.1" customHeight="1" x14ac:dyDescent="0.25">
      <c r="D21" s="2"/>
      <c r="E21" s="2"/>
      <c r="R21"/>
      <c r="S21"/>
    </row>
    <row r="22" spans="2:19" ht="23.1" customHeight="1" x14ac:dyDescent="0.25">
      <c r="D22" s="2"/>
      <c r="E22" s="2"/>
      <c r="R22"/>
      <c r="S22"/>
    </row>
    <row r="23" spans="2:19" ht="23.1" customHeight="1" x14ac:dyDescent="0.25">
      <c r="C23" s="2"/>
      <c r="D23" s="2"/>
      <c r="R23"/>
      <c r="S23"/>
    </row>
    <row r="24" spans="2:19" ht="23.1" customHeight="1" x14ac:dyDescent="0.25">
      <c r="C24" s="2"/>
      <c r="D24" s="2"/>
      <c r="R24"/>
      <c r="S24"/>
    </row>
    <row r="25" spans="2:19" ht="23.1" customHeight="1" x14ac:dyDescent="0.25">
      <c r="C25" s="2"/>
      <c r="D25" s="2"/>
      <c r="R25"/>
      <c r="S25"/>
    </row>
    <row r="26" spans="2:19" ht="23.1" customHeight="1" x14ac:dyDescent="0.25">
      <c r="C26" s="2"/>
      <c r="D26" s="2"/>
      <c r="R26"/>
      <c r="S26"/>
    </row>
    <row r="27" spans="2:19" ht="23.1" customHeight="1" x14ac:dyDescent="0.25">
      <c r="C27" s="2"/>
      <c r="D27" s="2"/>
      <c r="R27"/>
      <c r="S27"/>
    </row>
    <row r="28" spans="2:19" ht="23.1" customHeight="1" x14ac:dyDescent="0.25">
      <c r="C28" s="2"/>
      <c r="D28" s="2"/>
      <c r="R28"/>
      <c r="S28"/>
    </row>
    <row r="29" spans="2:19" ht="23.1" customHeight="1" x14ac:dyDescent="0.25">
      <c r="C29" s="2"/>
      <c r="D29" s="2"/>
      <c r="R29"/>
      <c r="S29"/>
    </row>
    <row r="30" spans="2:19" ht="23.1" customHeight="1" x14ac:dyDescent="0.25">
      <c r="C30" s="2"/>
      <c r="D30" s="2"/>
      <c r="R30"/>
      <c r="S30"/>
    </row>
    <row r="31" spans="2:19" ht="23.1" customHeight="1" x14ac:dyDescent="0.25">
      <c r="C31" s="2"/>
      <c r="D31" s="2"/>
      <c r="R31"/>
      <c r="S31"/>
    </row>
    <row r="32" spans="2:19" ht="23.1" customHeight="1" x14ac:dyDescent="0.25">
      <c r="C32" s="2"/>
      <c r="D32" s="2"/>
      <c r="R32"/>
      <c r="S32"/>
    </row>
    <row r="33" spans="3:19" ht="23.1" customHeight="1" x14ac:dyDescent="0.25">
      <c r="C33" s="2"/>
      <c r="D33" s="2"/>
      <c r="R33"/>
      <c r="S33"/>
    </row>
    <row r="34" spans="3:19" ht="23.1" customHeight="1" x14ac:dyDescent="0.25">
      <c r="C34" s="2"/>
      <c r="D34" s="2"/>
      <c r="R34"/>
      <c r="S34"/>
    </row>
    <row r="35" spans="3:19" ht="23.1" customHeight="1" x14ac:dyDescent="0.25">
      <c r="C35" s="2"/>
      <c r="D35" s="2"/>
      <c r="R35"/>
      <c r="S35"/>
    </row>
    <row r="36" spans="3:19" ht="23.1" customHeight="1" x14ac:dyDescent="0.25">
      <c r="C36" s="2"/>
      <c r="D36" s="2"/>
      <c r="R36"/>
      <c r="S36"/>
    </row>
    <row r="37" spans="3:19" ht="23.1" customHeight="1" x14ac:dyDescent="0.25">
      <c r="C37" s="2"/>
      <c r="D37" s="2"/>
      <c r="R37"/>
      <c r="S37"/>
    </row>
    <row r="38" spans="3:19" ht="23.1" customHeight="1" x14ac:dyDescent="0.25">
      <c r="C38" s="2"/>
      <c r="D38" s="2"/>
      <c r="R38"/>
      <c r="S38"/>
    </row>
    <row r="39" spans="3:19" ht="23.1" customHeight="1" x14ac:dyDescent="0.25">
      <c r="C39" s="2"/>
      <c r="D39" s="2"/>
      <c r="R39"/>
      <c r="S39"/>
    </row>
    <row r="40" spans="3:19" ht="23.1" customHeight="1" x14ac:dyDescent="0.25">
      <c r="C40" s="2"/>
      <c r="D40" s="2"/>
      <c r="R40"/>
      <c r="S40"/>
    </row>
    <row r="41" spans="3:19" ht="23.1" customHeight="1" x14ac:dyDescent="0.25">
      <c r="C41" s="2"/>
      <c r="D41" s="2"/>
      <c r="R41"/>
      <c r="S41"/>
    </row>
    <row r="42" spans="3:19" ht="23.1" customHeight="1" x14ac:dyDescent="0.25">
      <c r="C42" s="2"/>
      <c r="D42" s="2"/>
      <c r="R42"/>
      <c r="S42"/>
    </row>
    <row r="43" spans="3:19" ht="23.1" customHeight="1" x14ac:dyDescent="0.25">
      <c r="C43" s="2"/>
      <c r="D43" s="2"/>
      <c r="R43"/>
      <c r="S43"/>
    </row>
    <row r="44" spans="3:19" ht="23.1" customHeight="1" x14ac:dyDescent="0.25">
      <c r="C44" s="2"/>
      <c r="D44" s="2"/>
      <c r="R44"/>
      <c r="S44"/>
    </row>
    <row r="45" spans="3:19" ht="23.1" customHeight="1" x14ac:dyDescent="0.25">
      <c r="C45" s="2"/>
      <c r="D45" s="2"/>
      <c r="R45"/>
      <c r="S45"/>
    </row>
    <row r="46" spans="3:19" ht="23.1" customHeight="1" x14ac:dyDescent="0.25">
      <c r="C46" s="2"/>
      <c r="D46" s="2"/>
      <c r="R46"/>
      <c r="S46"/>
    </row>
    <row r="47" spans="3:19" ht="23.1" customHeight="1" x14ac:dyDescent="0.25">
      <c r="C47" s="2"/>
      <c r="D47" s="2"/>
      <c r="R47"/>
      <c r="S47"/>
    </row>
    <row r="48" spans="3:19" ht="23.1" customHeight="1" x14ac:dyDescent="0.25">
      <c r="C48" s="2"/>
      <c r="D48" s="2"/>
      <c r="R48"/>
      <c r="S48"/>
    </row>
    <row r="49" spans="3:19" ht="23.1" customHeight="1" x14ac:dyDescent="0.25">
      <c r="C49" s="2"/>
      <c r="D49" s="2"/>
      <c r="R49"/>
      <c r="S49"/>
    </row>
    <row r="50" spans="3:19" ht="23.1" customHeight="1" x14ac:dyDescent="0.25">
      <c r="C50" s="2"/>
      <c r="D50" s="2"/>
      <c r="R50"/>
      <c r="S50"/>
    </row>
    <row r="51" spans="3:19" ht="23.1" customHeight="1" x14ac:dyDescent="0.25">
      <c r="C51" s="2"/>
      <c r="D51" s="2"/>
      <c r="R51"/>
      <c r="S51"/>
    </row>
    <row r="52" spans="3:19" ht="23.1" customHeight="1" x14ac:dyDescent="0.25">
      <c r="C52" s="2"/>
      <c r="D52" s="2"/>
      <c r="R52"/>
      <c r="S52"/>
    </row>
    <row r="53" spans="3:19" ht="23.1" customHeight="1" x14ac:dyDescent="0.25">
      <c r="C53" s="2"/>
      <c r="D53" s="2"/>
      <c r="R53"/>
      <c r="S53"/>
    </row>
    <row r="54" spans="3:19" ht="23.1" customHeight="1" x14ac:dyDescent="0.25">
      <c r="C54" s="2"/>
      <c r="D54" s="2"/>
      <c r="R54"/>
      <c r="S54"/>
    </row>
    <row r="55" spans="3:19" ht="23.1" customHeight="1" x14ac:dyDescent="0.25">
      <c r="C55" s="2"/>
      <c r="D55" s="2"/>
      <c r="R55"/>
      <c r="S55"/>
    </row>
    <row r="56" spans="3:19" ht="23.1" customHeight="1" x14ac:dyDescent="0.25">
      <c r="C56" s="2"/>
      <c r="D56" s="2"/>
      <c r="R56"/>
      <c r="S56"/>
    </row>
    <row r="57" spans="3:19" ht="23.1" customHeight="1" x14ac:dyDescent="0.25">
      <c r="C57" s="2"/>
      <c r="D57" s="2"/>
      <c r="R57"/>
      <c r="S57"/>
    </row>
    <row r="58" spans="3:19" ht="23.1" customHeight="1" x14ac:dyDescent="0.25">
      <c r="C58" s="2"/>
      <c r="D58" s="2"/>
      <c r="R58"/>
      <c r="S58"/>
    </row>
    <row r="59" spans="3:19" ht="23.1" customHeight="1" x14ac:dyDescent="0.25">
      <c r="C59" s="2"/>
      <c r="D59" s="2"/>
      <c r="R59"/>
      <c r="S59"/>
    </row>
    <row r="60" spans="3:19" ht="23.1" customHeight="1" x14ac:dyDescent="0.25">
      <c r="C60" s="2"/>
      <c r="D60" s="2"/>
      <c r="R60"/>
      <c r="S60"/>
    </row>
    <row r="61" spans="3:19" ht="23.1" customHeight="1" x14ac:dyDescent="0.25">
      <c r="C61" s="2"/>
      <c r="D61" s="2"/>
      <c r="R61"/>
      <c r="S61"/>
    </row>
    <row r="62" spans="3:19" ht="23.1" customHeight="1" x14ac:dyDescent="0.25">
      <c r="C62" s="2"/>
      <c r="D62" s="2"/>
      <c r="R62"/>
      <c r="S62"/>
    </row>
    <row r="63" spans="3:19" ht="23.1" customHeight="1" x14ac:dyDescent="0.25">
      <c r="C63" s="2"/>
      <c r="D63" s="2"/>
      <c r="R63"/>
      <c r="S63"/>
    </row>
    <row r="64" spans="3:19" ht="23.1" customHeight="1" x14ac:dyDescent="0.25">
      <c r="C64" s="2"/>
      <c r="D64" s="2"/>
      <c r="R64"/>
      <c r="S64"/>
    </row>
    <row r="65" spans="3:19" ht="23.1" customHeight="1" x14ac:dyDescent="0.25">
      <c r="C65" s="2"/>
      <c r="D65" s="2"/>
      <c r="R65"/>
      <c r="S65"/>
    </row>
    <row r="66" spans="3:19" ht="23.1" customHeight="1" x14ac:dyDescent="0.25">
      <c r="C66" s="2"/>
      <c r="D66" s="2"/>
      <c r="R66"/>
      <c r="S66"/>
    </row>
    <row r="67" spans="3:19" ht="23.1" customHeight="1" x14ac:dyDescent="0.25">
      <c r="C67" s="2"/>
      <c r="D67" s="2"/>
      <c r="R67"/>
      <c r="S67"/>
    </row>
    <row r="68" spans="3:19" ht="23.1" customHeight="1" x14ac:dyDescent="0.25">
      <c r="C68" s="2"/>
      <c r="D68" s="2"/>
      <c r="R68"/>
      <c r="S68"/>
    </row>
    <row r="69" spans="3:19" ht="23.1" customHeight="1" x14ac:dyDescent="0.25">
      <c r="C69" s="2"/>
      <c r="D69" s="2"/>
      <c r="R69"/>
      <c r="S69"/>
    </row>
    <row r="70" spans="3:19" ht="23.1" customHeight="1" x14ac:dyDescent="0.25">
      <c r="C70" s="2"/>
      <c r="D70" s="2"/>
      <c r="R70"/>
      <c r="S70"/>
    </row>
    <row r="71" spans="3:19" ht="23.1" customHeight="1" x14ac:dyDescent="0.25">
      <c r="C71" s="2"/>
      <c r="D71" s="2"/>
      <c r="R71"/>
      <c r="S71"/>
    </row>
    <row r="72" spans="3:19" ht="23.1" customHeight="1" x14ac:dyDescent="0.25">
      <c r="C72" s="2"/>
      <c r="D72" s="2"/>
      <c r="R72"/>
      <c r="S72"/>
    </row>
    <row r="73" spans="3:19" ht="23.1" customHeight="1" x14ac:dyDescent="0.25">
      <c r="C73" s="2"/>
      <c r="D73" s="2"/>
      <c r="R73"/>
      <c r="S73"/>
    </row>
    <row r="74" spans="3:19" ht="23.1" customHeight="1" x14ac:dyDescent="0.25">
      <c r="C74" s="2"/>
      <c r="D74" s="2"/>
      <c r="R74"/>
      <c r="S74"/>
    </row>
    <row r="75" spans="3:19" ht="23.1" customHeight="1" x14ac:dyDescent="0.25">
      <c r="C75" s="2"/>
      <c r="D75" s="2"/>
      <c r="R75"/>
      <c r="S75"/>
    </row>
    <row r="76" spans="3:19" ht="23.1" customHeight="1" x14ac:dyDescent="0.25">
      <c r="C76" s="2"/>
      <c r="D76" s="2"/>
      <c r="R76"/>
      <c r="S76"/>
    </row>
    <row r="77" spans="3:19" ht="23.1" customHeight="1" x14ac:dyDescent="0.25">
      <c r="C77" s="2"/>
      <c r="D77" s="2"/>
      <c r="R77"/>
      <c r="S77"/>
    </row>
    <row r="78" spans="3:19" ht="23.1" customHeight="1" x14ac:dyDescent="0.25">
      <c r="C78" s="2"/>
      <c r="D78" s="2"/>
      <c r="R78"/>
      <c r="S78"/>
    </row>
    <row r="79" spans="3:19" ht="23.1" customHeight="1" x14ac:dyDescent="0.25">
      <c r="C79" s="2"/>
      <c r="D79" s="2"/>
      <c r="R79"/>
      <c r="S79"/>
    </row>
    <row r="80" spans="3:19" ht="23.1" customHeight="1" x14ac:dyDescent="0.25">
      <c r="C80" s="2"/>
      <c r="D80" s="2"/>
      <c r="R80"/>
      <c r="S80"/>
    </row>
    <row r="81" spans="3:19" ht="23.1" customHeight="1" x14ac:dyDescent="0.25">
      <c r="C81" s="2"/>
      <c r="D81" s="2"/>
      <c r="R81"/>
      <c r="S81"/>
    </row>
    <row r="82" spans="3:19" ht="23.1" customHeight="1" x14ac:dyDescent="0.25">
      <c r="C82" s="2"/>
      <c r="D82" s="2"/>
      <c r="R82"/>
      <c r="S82"/>
    </row>
    <row r="83" spans="3:19" ht="23.1" customHeight="1" x14ac:dyDescent="0.25">
      <c r="C83" s="2"/>
      <c r="D83" s="2"/>
      <c r="R83"/>
      <c r="S83"/>
    </row>
    <row r="84" spans="3:19" ht="23.1" customHeight="1" x14ac:dyDescent="0.25">
      <c r="C84" s="2"/>
      <c r="D84" s="2"/>
      <c r="R84"/>
      <c r="S84"/>
    </row>
    <row r="85" spans="3:19" ht="23.1" customHeight="1" x14ac:dyDescent="0.25">
      <c r="C85" s="2"/>
      <c r="D85" s="2"/>
      <c r="R85"/>
      <c r="S85"/>
    </row>
    <row r="86" spans="3:19" ht="23.1" customHeight="1" x14ac:dyDescent="0.25">
      <c r="C86" s="13"/>
      <c r="Q86" s="2"/>
      <c r="S86"/>
    </row>
    <row r="87" spans="3:19" ht="23.1" customHeight="1" x14ac:dyDescent="0.25">
      <c r="C87" s="13"/>
      <c r="Q87" s="2"/>
      <c r="S87"/>
    </row>
    <row r="88" spans="3:19" ht="23.1" customHeight="1" x14ac:dyDescent="0.25">
      <c r="C88" s="13"/>
    </row>
    <row r="89" spans="3:19" ht="23.1" customHeight="1" x14ac:dyDescent="0.25">
      <c r="C89" s="13"/>
    </row>
    <row r="90" spans="3:19" ht="23.1" customHeight="1" x14ac:dyDescent="0.25"/>
    <row r="91" spans="3:19" ht="23.1" customHeight="1" x14ac:dyDescent="0.25"/>
    <row r="92" spans="3:19" ht="23.1" customHeight="1" x14ac:dyDescent="0.25"/>
    <row r="93" spans="3:19" ht="23.1" customHeight="1" x14ac:dyDescent="0.25"/>
    <row r="94" spans="3:19" ht="23.1" customHeight="1" x14ac:dyDescent="0.25"/>
    <row r="95" spans="3:19" ht="23.1" customHeight="1" x14ac:dyDescent="0.25"/>
    <row r="96" spans="3:19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  <row r="129" ht="23.1" customHeight="1" x14ac:dyDescent="0.25"/>
    <row r="130" ht="23.1" customHeight="1" x14ac:dyDescent="0.25"/>
    <row r="131" ht="23.1" customHeight="1" x14ac:dyDescent="0.25"/>
    <row r="132" ht="23.1" customHeight="1" x14ac:dyDescent="0.25"/>
    <row r="133" ht="23.1" customHeight="1" x14ac:dyDescent="0.25"/>
    <row r="134" ht="23.1" customHeight="1" x14ac:dyDescent="0.25"/>
    <row r="135" ht="23.1" customHeight="1" x14ac:dyDescent="0.25"/>
    <row r="136" ht="23.1" customHeight="1" x14ac:dyDescent="0.25"/>
    <row r="137" ht="23.1" customHeight="1" x14ac:dyDescent="0.25"/>
    <row r="138" ht="23.1" customHeight="1" x14ac:dyDescent="0.25"/>
    <row r="139" ht="23.1" customHeight="1" x14ac:dyDescent="0.25"/>
    <row r="140" ht="23.1" customHeight="1" x14ac:dyDescent="0.25"/>
    <row r="141" ht="23.1" customHeight="1" x14ac:dyDescent="0.25"/>
    <row r="142" ht="23.1" customHeight="1" x14ac:dyDescent="0.25"/>
    <row r="143" ht="23.1" customHeight="1" x14ac:dyDescent="0.25"/>
    <row r="144" ht="23.1" customHeight="1" x14ac:dyDescent="0.25"/>
    <row r="145" ht="23.1" customHeight="1" x14ac:dyDescent="0.25"/>
    <row r="146" ht="23.1" customHeight="1" x14ac:dyDescent="0.25"/>
    <row r="147" ht="23.1" customHeight="1" x14ac:dyDescent="0.25"/>
    <row r="148" ht="23.1" customHeight="1" x14ac:dyDescent="0.25"/>
    <row r="149" ht="23.1" customHeight="1" x14ac:dyDescent="0.25"/>
    <row r="150" ht="23.1" customHeight="1" x14ac:dyDescent="0.25"/>
    <row r="151" ht="23.1" customHeight="1" x14ac:dyDescent="0.25"/>
  </sheetData>
  <mergeCells count="10">
    <mergeCell ref="B1:P1"/>
    <mergeCell ref="B2:P2"/>
    <mergeCell ref="C8:P8"/>
    <mergeCell ref="D5:E5"/>
    <mergeCell ref="C3:F3"/>
    <mergeCell ref="G5:H5"/>
    <mergeCell ref="K5:L5"/>
    <mergeCell ref="D6:E6"/>
    <mergeCell ref="G6:H6"/>
    <mergeCell ref="K6:L6"/>
  </mergeCells>
  <phoneticPr fontId="12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249977111117893"/>
  </sheetPr>
  <dimension ref="B1:AD151"/>
  <sheetViews>
    <sheetView view="pageBreakPreview" zoomScale="60" workbookViewId="0">
      <selection activeCell="D10" sqref="D10"/>
    </sheetView>
  </sheetViews>
  <sheetFormatPr defaultColWidth="15" defaultRowHeight="20.100000000000001" customHeight="1" x14ac:dyDescent="0.25"/>
  <cols>
    <col min="1" max="1" width="4.85546875" customWidth="1"/>
    <col min="2" max="2" width="19.570312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5.7109375" customWidth="1"/>
    <col min="10" max="10" width="18.42578125" customWidth="1"/>
    <col min="11" max="11" width="20.42578125" customWidth="1"/>
    <col min="12" max="12" width="19.28515625" customWidth="1"/>
    <col min="13" max="13" width="14.5703125" customWidth="1"/>
    <col min="14" max="14" width="16.28515625" customWidth="1"/>
    <col min="15" max="15" width="14.85546875" customWidth="1"/>
    <col min="16" max="16" width="14.28515625" customWidth="1"/>
    <col min="17" max="17" width="14.7109375" customWidth="1"/>
    <col min="18" max="19" width="10.7109375" style="2" customWidth="1"/>
    <col min="20" max="32" width="10.7109375" customWidth="1"/>
  </cols>
  <sheetData>
    <row r="1" spans="2:30" ht="23.25" customHeight="1" x14ac:dyDescent="0.3"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2:30" ht="20.100000000000001" customHeight="1" x14ac:dyDescent="0.25">
      <c r="B2" s="31" t="s">
        <v>25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2:30" ht="20.100000000000001" customHeight="1" x14ac:dyDescent="0.25">
      <c r="B3" s="1" t="s">
        <v>1</v>
      </c>
      <c r="C3" s="34" t="s">
        <v>29</v>
      </c>
      <c r="D3" s="34"/>
      <c r="E3" s="34"/>
      <c r="F3" s="34"/>
      <c r="G3" s="15"/>
      <c r="H3" s="15"/>
      <c r="I3" s="15"/>
      <c r="J3" s="15"/>
      <c r="K3" s="1"/>
      <c r="L3" s="1"/>
      <c r="M3" s="1"/>
      <c r="N3" s="1"/>
      <c r="O3" s="1"/>
      <c r="P3" s="1"/>
    </row>
    <row r="4" spans="2:30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0" ht="20.100000000000001" customHeight="1" x14ac:dyDescent="0.25">
      <c r="C5" s="3" t="s">
        <v>2</v>
      </c>
      <c r="D5" s="33" t="s">
        <v>30</v>
      </c>
      <c r="E5" s="33"/>
      <c r="F5" s="4" t="s">
        <v>3</v>
      </c>
      <c r="G5" s="35"/>
      <c r="H5" s="36"/>
      <c r="I5" s="5"/>
      <c r="J5" s="3" t="s">
        <v>4</v>
      </c>
      <c r="K5" s="35" t="s">
        <v>14</v>
      </c>
      <c r="L5" s="36"/>
      <c r="M5" s="2"/>
      <c r="N5" s="2"/>
    </row>
    <row r="6" spans="2:30" ht="23.25" customHeight="1" x14ac:dyDescent="0.25">
      <c r="C6" s="3" t="s">
        <v>5</v>
      </c>
      <c r="D6" s="37" t="s">
        <v>28</v>
      </c>
      <c r="E6" s="38"/>
      <c r="F6" s="3" t="s">
        <v>6</v>
      </c>
      <c r="G6" s="37" t="s">
        <v>27</v>
      </c>
      <c r="H6" s="38"/>
      <c r="J6" s="3" t="s">
        <v>7</v>
      </c>
      <c r="K6" s="37" t="s">
        <v>13</v>
      </c>
      <c r="L6" s="38"/>
      <c r="M6" s="2"/>
      <c r="N6" s="2"/>
    </row>
    <row r="7" spans="2:30" ht="20.100000000000001" customHeight="1" x14ac:dyDescent="0.25">
      <c r="D7" s="2"/>
      <c r="E7" s="2"/>
      <c r="R7"/>
      <c r="S7"/>
    </row>
    <row r="8" spans="2:30" ht="50.25" customHeight="1" x14ac:dyDescent="0.25">
      <c r="C8" s="32" t="s">
        <v>26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R8"/>
      <c r="S8"/>
    </row>
    <row r="9" spans="2:30" ht="98.25" customHeight="1" x14ac:dyDescent="0.25">
      <c r="B9" s="14" t="s">
        <v>8</v>
      </c>
      <c r="C9" s="27" t="s">
        <v>15</v>
      </c>
      <c r="D9" s="27" t="s">
        <v>32</v>
      </c>
      <c r="E9" s="27" t="s">
        <v>33</v>
      </c>
      <c r="F9" s="27" t="s">
        <v>34</v>
      </c>
      <c r="G9" s="27" t="s">
        <v>35</v>
      </c>
      <c r="H9" s="27" t="s">
        <v>36</v>
      </c>
      <c r="I9" s="27" t="s">
        <v>37</v>
      </c>
      <c r="J9" s="27" t="s">
        <v>38</v>
      </c>
      <c r="K9" s="27" t="s">
        <v>39</v>
      </c>
      <c r="L9" s="27" t="s">
        <v>40</v>
      </c>
      <c r="M9" s="27" t="s">
        <v>41</v>
      </c>
      <c r="N9" s="27" t="s">
        <v>42</v>
      </c>
      <c r="O9" s="7" t="s">
        <v>10</v>
      </c>
      <c r="P9" s="7" t="s">
        <v>24</v>
      </c>
      <c r="R9"/>
      <c r="S9"/>
    </row>
    <row r="10" spans="2:30" ht="23.1" customHeight="1" x14ac:dyDescent="0.25">
      <c r="B10" s="6" t="s">
        <v>16</v>
      </c>
      <c r="C10" s="6">
        <v>12624</v>
      </c>
      <c r="D10" s="8">
        <f>$O10*D$20</f>
        <v>9819.2544077627608</v>
      </c>
      <c r="E10" s="8">
        <f t="shared" ref="E10:N16" si="0">$O10*E$20</f>
        <v>1519.4889389957543</v>
      </c>
      <c r="F10" s="8">
        <f t="shared" si="0"/>
        <v>1387.9149206151735</v>
      </c>
      <c r="G10" s="8">
        <f t="shared" si="0"/>
        <v>4014.1270592625988</v>
      </c>
      <c r="H10" s="8">
        <f t="shared" si="0"/>
        <v>256.62860341797938</v>
      </c>
      <c r="I10" s="8">
        <f t="shared" si="0"/>
        <v>85.740426392150141</v>
      </c>
      <c r="J10" s="8">
        <f t="shared" si="0"/>
        <v>1553.6007215388679</v>
      </c>
      <c r="K10" s="8">
        <f t="shared" si="0"/>
        <v>1282.2869298832161</v>
      </c>
      <c r="L10" s="8">
        <f t="shared" si="0"/>
        <v>568.50775809787422</v>
      </c>
      <c r="M10" s="8">
        <f t="shared" si="0"/>
        <v>685.46244110283476</v>
      </c>
      <c r="N10" s="8">
        <f t="shared" si="0"/>
        <v>0.98779293078513986</v>
      </c>
      <c r="O10" s="9">
        <v>21174</v>
      </c>
      <c r="P10" s="9">
        <f>SUM(C10:N10)</f>
        <v>33797.999999999993</v>
      </c>
      <c r="R10"/>
      <c r="S10"/>
    </row>
    <row r="11" spans="2:30" s="10" customFormat="1" ht="23.1" customHeight="1" x14ac:dyDescent="0.25">
      <c r="B11" s="6" t="s">
        <v>20</v>
      </c>
      <c r="C11" s="22">
        <v>10009</v>
      </c>
      <c r="D11" s="8">
        <f t="shared" ref="D11:D16" si="1">$O11*D$20</f>
        <v>8850.9629558212928</v>
      </c>
      <c r="E11" s="8">
        <f t="shared" si="0"/>
        <v>1369.6498483835348</v>
      </c>
      <c r="F11" s="8">
        <f t="shared" si="0"/>
        <v>1251.050541931671</v>
      </c>
      <c r="G11" s="8">
        <f t="shared" si="0"/>
        <v>3618.2879499898913</v>
      </c>
      <c r="H11" s="8">
        <f t="shared" si="0"/>
        <v>231.32207069214857</v>
      </c>
      <c r="I11" s="8">
        <f t="shared" si="0"/>
        <v>77.285433934097355</v>
      </c>
      <c r="J11" s="8">
        <f t="shared" si="0"/>
        <v>1400.397816722907</v>
      </c>
      <c r="K11" s="8">
        <f t="shared" si="0"/>
        <v>1155.8386863016465</v>
      </c>
      <c r="L11" s="8">
        <f t="shared" si="0"/>
        <v>512.44635265212185</v>
      </c>
      <c r="M11" s="8">
        <f t="shared" si="0"/>
        <v>617.8679583871118</v>
      </c>
      <c r="N11" s="8">
        <f t="shared" si="0"/>
        <v>0.89038518357255025</v>
      </c>
      <c r="O11" s="9">
        <v>19086</v>
      </c>
      <c r="P11" s="9">
        <f t="shared" ref="P11:P16" si="2">SUM(C11:N11)</f>
        <v>29094.999999999993</v>
      </c>
    </row>
    <row r="12" spans="2:30" ht="23.1" customHeight="1" x14ac:dyDescent="0.25">
      <c r="B12" s="6" t="s">
        <v>21</v>
      </c>
      <c r="C12" s="24">
        <v>11707</v>
      </c>
      <c r="D12" s="8">
        <f t="shared" si="1"/>
        <v>9538.6910320804855</v>
      </c>
      <c r="E12" s="8">
        <f t="shared" si="0"/>
        <v>1476.0729189668307</v>
      </c>
      <c r="F12" s="8">
        <f t="shared" si="0"/>
        <v>1348.2583357954807</v>
      </c>
      <c r="G12" s="8">
        <f t="shared" si="0"/>
        <v>3899.4322981945966</v>
      </c>
      <c r="H12" s="8">
        <f t="shared" si="0"/>
        <v>249.29601132069601</v>
      </c>
      <c r="I12" s="8">
        <f t="shared" si="0"/>
        <v>83.290584228777561</v>
      </c>
      <c r="J12" s="8">
        <f t="shared" si="0"/>
        <v>1509.2100331223658</v>
      </c>
      <c r="K12" s="8">
        <f t="shared" si="0"/>
        <v>1245.6484301864489</v>
      </c>
      <c r="L12" s="8">
        <f t="shared" si="0"/>
        <v>552.26391217130322</v>
      </c>
      <c r="M12" s="8">
        <f t="shared" si="0"/>
        <v>665.87687499028095</v>
      </c>
      <c r="N12" s="8">
        <f t="shared" si="0"/>
        <v>0.9595689427278522</v>
      </c>
      <c r="O12" s="9">
        <v>20569</v>
      </c>
      <c r="P12" s="9">
        <f t="shared" si="2"/>
        <v>32275.999999999989</v>
      </c>
      <c r="R12"/>
      <c r="S12"/>
    </row>
    <row r="13" spans="2:30" ht="23.1" customHeight="1" x14ac:dyDescent="0.25">
      <c r="B13" s="6" t="s">
        <v>17</v>
      </c>
      <c r="C13" s="6">
        <v>11698</v>
      </c>
      <c r="D13" s="8">
        <f t="shared" si="1"/>
        <v>9190.8851944578328</v>
      </c>
      <c r="E13" s="8">
        <f t="shared" si="0"/>
        <v>1422.2514065342805</v>
      </c>
      <c r="F13" s="8">
        <f t="shared" si="0"/>
        <v>1299.0972802338777</v>
      </c>
      <c r="G13" s="8">
        <f t="shared" si="0"/>
        <v>3757.2487100937678</v>
      </c>
      <c r="H13" s="8">
        <f t="shared" si="0"/>
        <v>240.2060211174522</v>
      </c>
      <c r="I13" s="8">
        <f t="shared" si="0"/>
        <v>80.253589811373544</v>
      </c>
      <c r="J13" s="8">
        <f t="shared" si="0"/>
        <v>1454.1802540936442</v>
      </c>
      <c r="K13" s="8">
        <f t="shared" si="0"/>
        <v>1200.2288024631839</v>
      </c>
      <c r="L13" s="8">
        <f t="shared" si="0"/>
        <v>532.1269130887772</v>
      </c>
      <c r="M13" s="8">
        <f t="shared" si="0"/>
        <v>641.59724757802417</v>
      </c>
      <c r="N13" s="8">
        <f t="shared" si="0"/>
        <v>0.92458052778080124</v>
      </c>
      <c r="O13" s="9">
        <v>19819</v>
      </c>
      <c r="P13" s="9">
        <f t="shared" si="2"/>
        <v>31517.000000000004</v>
      </c>
      <c r="R13"/>
      <c r="S13"/>
    </row>
    <row r="14" spans="2:30" ht="23.1" customHeight="1" x14ac:dyDescent="0.25">
      <c r="B14" s="6" t="s">
        <v>18</v>
      </c>
      <c r="C14" s="6">
        <v>12407</v>
      </c>
      <c r="D14" s="8">
        <f t="shared" si="1"/>
        <v>9910.1476666614799</v>
      </c>
      <c r="E14" s="8">
        <f t="shared" si="0"/>
        <v>1533.5542942447942</v>
      </c>
      <c r="F14" s="8">
        <f t="shared" si="0"/>
        <v>1400.7623431352724</v>
      </c>
      <c r="G14" s="8">
        <f t="shared" si="0"/>
        <v>4051.284370286282</v>
      </c>
      <c r="H14" s="8">
        <f t="shared" si="0"/>
        <v>259.00412085776043</v>
      </c>
      <c r="I14" s="8">
        <f t="shared" si="0"/>
        <v>86.534094266565049</v>
      </c>
      <c r="J14" s="8">
        <f t="shared" si="0"/>
        <v>1567.9818371250406</v>
      </c>
      <c r="K14" s="8">
        <f t="shared" si="0"/>
        <v>1294.156592594896</v>
      </c>
      <c r="L14" s="8">
        <f t="shared" si="0"/>
        <v>573.77022719144099</v>
      </c>
      <c r="M14" s="8">
        <f t="shared" si="0"/>
        <v>691.80751706657122</v>
      </c>
      <c r="N14" s="8">
        <f t="shared" si="0"/>
        <v>0.99693656989130242</v>
      </c>
      <c r="O14" s="9">
        <v>21370</v>
      </c>
      <c r="P14" s="9">
        <f t="shared" si="2"/>
        <v>33776.999999999993</v>
      </c>
      <c r="R14"/>
      <c r="S14"/>
    </row>
    <row r="15" spans="2:30" ht="23.1" customHeight="1" x14ac:dyDescent="0.25">
      <c r="B15" s="6" t="s">
        <v>19</v>
      </c>
      <c r="C15" s="6">
        <v>12628</v>
      </c>
      <c r="D15" s="8">
        <f t="shared" si="1"/>
        <v>10440.203763198404</v>
      </c>
      <c r="E15" s="8">
        <f t="shared" si="0"/>
        <v>1615.5782791920005</v>
      </c>
      <c r="F15" s="8">
        <f t="shared" si="0"/>
        <v>1475.6837918111553</v>
      </c>
      <c r="G15" s="8">
        <f t="shared" si="0"/>
        <v>4267.9721585519446</v>
      </c>
      <c r="H15" s="8">
        <f t="shared" si="0"/>
        <v>272.85726592750399</v>
      </c>
      <c r="I15" s="8">
        <f t="shared" si="0"/>
        <v>91.162473758688776</v>
      </c>
      <c r="J15" s="8">
        <f t="shared" si="0"/>
        <v>1651.8472203648121</v>
      </c>
      <c r="K15" s="8">
        <f t="shared" si="0"/>
        <v>1363.3761052451516</v>
      </c>
      <c r="L15" s="8">
        <f t="shared" si="0"/>
        <v>604.4590137932106</v>
      </c>
      <c r="M15" s="8">
        <f t="shared" si="0"/>
        <v>728.80966924285065</v>
      </c>
      <c r="N15" s="8">
        <f t="shared" si="0"/>
        <v>1.050258914270608</v>
      </c>
      <c r="O15" s="9">
        <v>22513</v>
      </c>
      <c r="P15" s="9">
        <f t="shared" si="2"/>
        <v>35140.999999999993</v>
      </c>
      <c r="R15"/>
      <c r="S15"/>
    </row>
    <row r="16" spans="2:30" ht="23.1" customHeight="1" x14ac:dyDescent="0.25">
      <c r="B16" s="6" t="s">
        <v>22</v>
      </c>
      <c r="C16" s="6">
        <v>10876</v>
      </c>
      <c r="D16" s="8">
        <f t="shared" si="1"/>
        <v>9033.676955852392</v>
      </c>
      <c r="E16" s="8">
        <f t="shared" si="0"/>
        <v>1397.924082914768</v>
      </c>
      <c r="F16" s="8">
        <f t="shared" si="0"/>
        <v>1276.8764831200331</v>
      </c>
      <c r="G16" s="8">
        <f t="shared" si="0"/>
        <v>3692.9817282721933</v>
      </c>
      <c r="H16" s="8">
        <f t="shared" si="0"/>
        <v>236.09734554558599</v>
      </c>
      <c r="I16" s="8">
        <f t="shared" si="0"/>
        <v>78.880868334706932</v>
      </c>
      <c r="J16" s="8">
        <f t="shared" si="0"/>
        <v>1429.306793972662</v>
      </c>
      <c r="K16" s="8">
        <f t="shared" si="0"/>
        <v>1179.6991307322683</v>
      </c>
      <c r="L16" s="8">
        <f t="shared" si="0"/>
        <v>523.02498950347547</v>
      </c>
      <c r="M16" s="8">
        <f t="shared" si="0"/>
        <v>630.62285598768403</v>
      </c>
      <c r="N16" s="8">
        <f t="shared" si="0"/>
        <v>0.90876576422473432</v>
      </c>
      <c r="O16" s="9">
        <v>19480</v>
      </c>
      <c r="P16" s="9">
        <f t="shared" si="2"/>
        <v>30355.999999999985</v>
      </c>
      <c r="R16"/>
      <c r="S16"/>
    </row>
    <row r="17" spans="2:19" ht="37.5" customHeight="1" x14ac:dyDescent="0.25">
      <c r="B17" s="16" t="s">
        <v>23</v>
      </c>
      <c r="C17" s="11">
        <f>AVERAGE(C10:C16)</f>
        <v>11707</v>
      </c>
      <c r="D17" s="11">
        <f t="shared" ref="D17:N17" si="3">AVERAGE(D10:D16)</f>
        <v>9540.5459965478058</v>
      </c>
      <c r="E17" s="11">
        <f t="shared" si="3"/>
        <v>1476.3599670331375</v>
      </c>
      <c r="F17" s="11">
        <f t="shared" si="3"/>
        <v>1348.520528091809</v>
      </c>
      <c r="G17" s="11">
        <f t="shared" si="3"/>
        <v>3900.1906106644674</v>
      </c>
      <c r="H17" s="11">
        <f t="shared" si="3"/>
        <v>249.34449126844666</v>
      </c>
      <c r="I17" s="11">
        <f t="shared" si="3"/>
        <v>83.306781532337055</v>
      </c>
      <c r="J17" s="11">
        <f t="shared" si="3"/>
        <v>1509.5035252771856</v>
      </c>
      <c r="K17" s="11">
        <f t="shared" si="3"/>
        <v>1245.8906682009731</v>
      </c>
      <c r="L17" s="11">
        <f t="shared" si="3"/>
        <v>552.37130949974335</v>
      </c>
      <c r="M17" s="11">
        <f t="shared" si="3"/>
        <v>666.00636633647969</v>
      </c>
      <c r="N17" s="11">
        <f t="shared" si="3"/>
        <v>0.95975554760756976</v>
      </c>
      <c r="O17" s="12">
        <f>AVERAGE(O10:O16)</f>
        <v>20573</v>
      </c>
      <c r="P17" s="12">
        <f>AVERAGE(P10:P16)</f>
        <v>32279.999999999993</v>
      </c>
      <c r="R17"/>
      <c r="S17"/>
    </row>
    <row r="18" spans="2:19" ht="23.1" customHeight="1" x14ac:dyDescent="0.25">
      <c r="B18" s="18" t="s">
        <v>11</v>
      </c>
      <c r="C18" s="17">
        <f>C$17/P$17</f>
        <v>0.36267038413878572</v>
      </c>
      <c r="D18" s="17">
        <f>D17/$P$17</f>
        <v>0.29555594784844508</v>
      </c>
      <c r="E18" s="17">
        <f>E17/$P$17</f>
        <v>4.573605845827565E-2</v>
      </c>
      <c r="F18" s="17">
        <f t="shared" ref="F18:N18" si="4">F17/$P$17</f>
        <v>4.1775728875210943E-2</v>
      </c>
      <c r="G18" s="17">
        <f t="shared" si="4"/>
        <v>0.12082374878142714</v>
      </c>
      <c r="H18" s="17">
        <f t="shared" si="4"/>
        <v>7.7244266192207783E-3</v>
      </c>
      <c r="I18" s="17">
        <f t="shared" si="4"/>
        <v>2.5807553138890047E-3</v>
      </c>
      <c r="J18" s="17">
        <f t="shared" si="4"/>
        <v>4.6762810572403529E-2</v>
      </c>
      <c r="K18" s="17">
        <f t="shared" si="4"/>
        <v>3.8596365185903758E-2</v>
      </c>
      <c r="L18" s="17">
        <f t="shared" si="4"/>
        <v>1.7111874519818569E-2</v>
      </c>
      <c r="M18" s="17">
        <f t="shared" si="4"/>
        <v>2.0632167482542745E-2</v>
      </c>
      <c r="N18" s="17">
        <f t="shared" si="4"/>
        <v>2.9732204077062265E-5</v>
      </c>
      <c r="O18" s="12">
        <f>SUM(O10:O16)</f>
        <v>144011</v>
      </c>
      <c r="P18" s="12">
        <f>SUM(P10:P16)</f>
        <v>225959.99999999994</v>
      </c>
      <c r="R18"/>
      <c r="S18"/>
    </row>
    <row r="19" spans="2:19" ht="23.1" customHeight="1" x14ac:dyDescent="0.25">
      <c r="B19" s="19" t="s">
        <v>12</v>
      </c>
      <c r="C19" s="17"/>
      <c r="D19" s="17">
        <f t="shared" ref="D19:N19" si="5">D$17/$O$17</f>
        <v>0.46374111683020491</v>
      </c>
      <c r="E19" s="17">
        <f t="shared" si="5"/>
        <v>7.1762016576733464E-2</v>
      </c>
      <c r="F19" s="17">
        <f t="shared" si="5"/>
        <v>6.5548074082137212E-2</v>
      </c>
      <c r="G19" s="17">
        <f t="shared" si="5"/>
        <v>0.1895781174677717</v>
      </c>
      <c r="H19" s="17">
        <f t="shared" si="5"/>
        <v>1.2119986937658419E-2</v>
      </c>
      <c r="I19" s="17">
        <f t="shared" si="5"/>
        <v>4.0493258898720193E-3</v>
      </c>
      <c r="J19" s="17">
        <f t="shared" si="5"/>
        <v>7.3373038704962118E-2</v>
      </c>
      <c r="K19" s="17">
        <f t="shared" si="5"/>
        <v>6.0559503631019931E-2</v>
      </c>
      <c r="L19" s="17">
        <f t="shared" si="5"/>
        <v>2.6849332110034672E-2</v>
      </c>
      <c r="M19" s="17">
        <f t="shared" si="5"/>
        <v>3.2372836549675772E-2</v>
      </c>
      <c r="N19" s="17">
        <f t="shared" si="5"/>
        <v>4.6651219929401145E-5</v>
      </c>
      <c r="O19" s="12"/>
      <c r="P19" s="12"/>
      <c r="R19"/>
      <c r="S19"/>
    </row>
    <row r="20" spans="2:19" ht="23.1" customHeight="1" x14ac:dyDescent="0.25">
      <c r="D20" s="25">
        <v>0.46374111683020497</v>
      </c>
      <c r="E20" s="25">
        <v>7.1762016576733464E-2</v>
      </c>
      <c r="F20" s="26">
        <v>6.5548074082137225E-2</v>
      </c>
      <c r="G20" s="26">
        <v>0.18957811746777173</v>
      </c>
      <c r="H20" s="26">
        <v>1.2119986937658419E-2</v>
      </c>
      <c r="I20" s="26">
        <v>4.0493258898720193E-3</v>
      </c>
      <c r="J20" s="26">
        <v>7.3373038704962118E-2</v>
      </c>
      <c r="K20" s="26">
        <v>6.0559503631019931E-2</v>
      </c>
      <c r="L20" s="26">
        <v>2.6849332110034676E-2</v>
      </c>
      <c r="M20" s="26">
        <v>3.2372836549675772E-2</v>
      </c>
      <c r="N20" s="26">
        <v>4.6651219929401145E-5</v>
      </c>
      <c r="R20"/>
      <c r="S20"/>
    </row>
    <row r="21" spans="2:19" ht="23.1" customHeight="1" x14ac:dyDescent="0.25">
      <c r="D21" s="2"/>
      <c r="E21" s="2"/>
      <c r="R21"/>
      <c r="S21"/>
    </row>
    <row r="22" spans="2:19" ht="23.1" customHeight="1" x14ac:dyDescent="0.25">
      <c r="D22" s="2"/>
      <c r="E22" s="2"/>
      <c r="R22"/>
      <c r="S22"/>
    </row>
    <row r="23" spans="2:19" ht="23.1" customHeight="1" x14ac:dyDescent="0.25">
      <c r="C23" s="2"/>
      <c r="D23" s="2"/>
      <c r="R23"/>
      <c r="S23"/>
    </row>
    <row r="24" spans="2:19" ht="23.1" customHeight="1" x14ac:dyDescent="0.25">
      <c r="C24" s="2"/>
      <c r="D24" s="2"/>
      <c r="R24"/>
      <c r="S24"/>
    </row>
    <row r="25" spans="2:19" ht="23.1" customHeight="1" x14ac:dyDescent="0.25">
      <c r="C25" s="2"/>
      <c r="D25" s="2"/>
      <c r="R25"/>
      <c r="S25"/>
    </row>
    <row r="26" spans="2:19" ht="23.1" customHeight="1" x14ac:dyDescent="0.25">
      <c r="C26" s="2"/>
      <c r="D26" s="2"/>
      <c r="R26"/>
      <c r="S26"/>
    </row>
    <row r="27" spans="2:19" ht="23.1" customHeight="1" x14ac:dyDescent="0.25">
      <c r="C27" s="2"/>
      <c r="D27" s="2"/>
      <c r="R27"/>
      <c r="S27"/>
    </row>
    <row r="28" spans="2:19" ht="23.1" customHeight="1" x14ac:dyDescent="0.25">
      <c r="C28" s="2"/>
      <c r="D28" s="2"/>
      <c r="R28"/>
      <c r="S28"/>
    </row>
    <row r="29" spans="2:19" ht="23.1" customHeight="1" x14ac:dyDescent="0.25">
      <c r="C29" s="2"/>
      <c r="D29" s="2"/>
      <c r="R29"/>
      <c r="S29"/>
    </row>
    <row r="30" spans="2:19" ht="23.1" customHeight="1" x14ac:dyDescent="0.25">
      <c r="C30" s="2"/>
      <c r="D30" s="2"/>
      <c r="R30"/>
      <c r="S30"/>
    </row>
    <row r="31" spans="2:19" ht="23.1" customHeight="1" x14ac:dyDescent="0.25">
      <c r="C31" s="2"/>
      <c r="D31" s="2"/>
      <c r="R31"/>
      <c r="S31"/>
    </row>
    <row r="32" spans="2:19" ht="23.1" customHeight="1" x14ac:dyDescent="0.25">
      <c r="C32" s="2"/>
      <c r="D32" s="2"/>
      <c r="R32"/>
      <c r="S32"/>
    </row>
    <row r="33" spans="3:19" ht="23.1" customHeight="1" x14ac:dyDescent="0.25">
      <c r="C33" s="2"/>
      <c r="D33" s="2"/>
      <c r="R33"/>
      <c r="S33"/>
    </row>
    <row r="34" spans="3:19" ht="23.1" customHeight="1" x14ac:dyDescent="0.25">
      <c r="C34" s="2"/>
      <c r="D34" s="2"/>
      <c r="R34"/>
      <c r="S34"/>
    </row>
    <row r="35" spans="3:19" ht="23.1" customHeight="1" x14ac:dyDescent="0.25">
      <c r="C35" s="2"/>
      <c r="D35" s="2"/>
      <c r="R35"/>
      <c r="S35"/>
    </row>
    <row r="36" spans="3:19" ht="23.1" customHeight="1" x14ac:dyDescent="0.25">
      <c r="C36" s="2"/>
      <c r="D36" s="2"/>
      <c r="R36"/>
      <c r="S36"/>
    </row>
    <row r="37" spans="3:19" ht="23.1" customHeight="1" x14ac:dyDescent="0.25">
      <c r="C37" s="2"/>
      <c r="D37" s="2"/>
      <c r="R37"/>
      <c r="S37"/>
    </row>
    <row r="38" spans="3:19" ht="23.1" customHeight="1" x14ac:dyDescent="0.25">
      <c r="C38" s="2"/>
      <c r="D38" s="2"/>
      <c r="R38"/>
      <c r="S38"/>
    </row>
    <row r="39" spans="3:19" ht="23.1" customHeight="1" x14ac:dyDescent="0.25">
      <c r="C39" s="2"/>
      <c r="D39" s="2"/>
      <c r="R39"/>
      <c r="S39"/>
    </row>
    <row r="40" spans="3:19" ht="23.1" customHeight="1" x14ac:dyDescent="0.25">
      <c r="C40" s="2"/>
      <c r="D40" s="2"/>
      <c r="R40"/>
      <c r="S40"/>
    </row>
    <row r="41" spans="3:19" ht="23.1" customHeight="1" x14ac:dyDescent="0.25">
      <c r="C41" s="2"/>
      <c r="D41" s="2"/>
      <c r="R41"/>
      <c r="S41"/>
    </row>
    <row r="42" spans="3:19" ht="23.1" customHeight="1" x14ac:dyDescent="0.25">
      <c r="C42" s="2"/>
      <c r="D42" s="2"/>
      <c r="R42"/>
      <c r="S42"/>
    </row>
    <row r="43" spans="3:19" ht="23.1" customHeight="1" x14ac:dyDescent="0.25">
      <c r="C43" s="2"/>
      <c r="D43" s="2"/>
      <c r="R43"/>
      <c r="S43"/>
    </row>
    <row r="44" spans="3:19" ht="23.1" customHeight="1" x14ac:dyDescent="0.25">
      <c r="C44" s="2"/>
      <c r="D44" s="2"/>
      <c r="R44"/>
      <c r="S44"/>
    </row>
    <row r="45" spans="3:19" ht="23.1" customHeight="1" x14ac:dyDescent="0.25">
      <c r="C45" s="2"/>
      <c r="D45" s="2"/>
      <c r="R45"/>
      <c r="S45"/>
    </row>
    <row r="46" spans="3:19" ht="23.1" customHeight="1" x14ac:dyDescent="0.25">
      <c r="C46" s="2"/>
      <c r="D46" s="2"/>
      <c r="R46"/>
      <c r="S46"/>
    </row>
    <row r="47" spans="3:19" ht="23.1" customHeight="1" x14ac:dyDescent="0.25">
      <c r="C47" s="2"/>
      <c r="D47" s="2"/>
      <c r="R47"/>
      <c r="S47"/>
    </row>
    <row r="48" spans="3:19" ht="23.1" customHeight="1" x14ac:dyDescent="0.25">
      <c r="C48" s="2"/>
      <c r="D48" s="2"/>
      <c r="R48"/>
      <c r="S48"/>
    </row>
    <row r="49" spans="3:19" ht="23.1" customHeight="1" x14ac:dyDescent="0.25">
      <c r="C49" s="2"/>
      <c r="D49" s="2"/>
      <c r="R49"/>
      <c r="S49"/>
    </row>
    <row r="50" spans="3:19" ht="23.1" customHeight="1" x14ac:dyDescent="0.25">
      <c r="C50" s="2"/>
      <c r="D50" s="2"/>
      <c r="R50"/>
      <c r="S50"/>
    </row>
    <row r="51" spans="3:19" ht="23.1" customHeight="1" x14ac:dyDescent="0.25">
      <c r="C51" s="2"/>
      <c r="D51" s="2"/>
      <c r="R51"/>
      <c r="S51"/>
    </row>
    <row r="52" spans="3:19" ht="23.1" customHeight="1" x14ac:dyDescent="0.25">
      <c r="C52" s="2"/>
      <c r="D52" s="2"/>
      <c r="R52"/>
      <c r="S52"/>
    </row>
    <row r="53" spans="3:19" ht="23.1" customHeight="1" x14ac:dyDescent="0.25">
      <c r="C53" s="2"/>
      <c r="D53" s="2"/>
      <c r="R53"/>
      <c r="S53"/>
    </row>
    <row r="54" spans="3:19" ht="23.1" customHeight="1" x14ac:dyDescent="0.25">
      <c r="C54" s="2"/>
      <c r="D54" s="2"/>
      <c r="R54"/>
      <c r="S54"/>
    </row>
    <row r="55" spans="3:19" ht="23.1" customHeight="1" x14ac:dyDescent="0.25">
      <c r="C55" s="2"/>
      <c r="D55" s="2"/>
      <c r="R55"/>
      <c r="S55"/>
    </row>
    <row r="56" spans="3:19" ht="23.1" customHeight="1" x14ac:dyDescent="0.25">
      <c r="C56" s="2"/>
      <c r="D56" s="2"/>
      <c r="R56"/>
      <c r="S56"/>
    </row>
    <row r="57" spans="3:19" ht="23.1" customHeight="1" x14ac:dyDescent="0.25">
      <c r="C57" s="2"/>
      <c r="D57" s="2"/>
      <c r="R57"/>
      <c r="S57"/>
    </row>
    <row r="58" spans="3:19" ht="23.1" customHeight="1" x14ac:dyDescent="0.25">
      <c r="C58" s="2"/>
      <c r="D58" s="2"/>
      <c r="R58"/>
      <c r="S58"/>
    </row>
    <row r="59" spans="3:19" ht="23.1" customHeight="1" x14ac:dyDescent="0.25">
      <c r="C59" s="2"/>
      <c r="D59" s="2"/>
      <c r="R59"/>
      <c r="S59"/>
    </row>
    <row r="60" spans="3:19" ht="23.1" customHeight="1" x14ac:dyDescent="0.25">
      <c r="C60" s="2"/>
      <c r="D60" s="2"/>
      <c r="R60"/>
      <c r="S60"/>
    </row>
    <row r="61" spans="3:19" ht="23.1" customHeight="1" x14ac:dyDescent="0.25">
      <c r="C61" s="2"/>
      <c r="D61" s="2"/>
      <c r="R61"/>
      <c r="S61"/>
    </row>
    <row r="62" spans="3:19" ht="23.1" customHeight="1" x14ac:dyDescent="0.25">
      <c r="C62" s="2"/>
      <c r="D62" s="2"/>
      <c r="R62"/>
      <c r="S62"/>
    </row>
    <row r="63" spans="3:19" ht="23.1" customHeight="1" x14ac:dyDescent="0.25">
      <c r="C63" s="2"/>
      <c r="D63" s="2"/>
      <c r="R63"/>
      <c r="S63"/>
    </row>
    <row r="64" spans="3:19" ht="23.1" customHeight="1" x14ac:dyDescent="0.25">
      <c r="C64" s="2"/>
      <c r="D64" s="2"/>
      <c r="R64"/>
      <c r="S64"/>
    </row>
    <row r="65" spans="3:19" ht="23.1" customHeight="1" x14ac:dyDescent="0.25">
      <c r="C65" s="2"/>
      <c r="D65" s="2"/>
      <c r="R65"/>
      <c r="S65"/>
    </row>
    <row r="66" spans="3:19" ht="23.1" customHeight="1" x14ac:dyDescent="0.25">
      <c r="C66" s="2"/>
      <c r="D66" s="2"/>
      <c r="R66"/>
      <c r="S66"/>
    </row>
    <row r="67" spans="3:19" ht="23.1" customHeight="1" x14ac:dyDescent="0.25">
      <c r="C67" s="2"/>
      <c r="D67" s="2"/>
      <c r="R67"/>
      <c r="S67"/>
    </row>
    <row r="68" spans="3:19" ht="23.1" customHeight="1" x14ac:dyDescent="0.25">
      <c r="C68" s="2"/>
      <c r="D68" s="2"/>
      <c r="R68"/>
      <c r="S68"/>
    </row>
    <row r="69" spans="3:19" ht="23.1" customHeight="1" x14ac:dyDescent="0.25">
      <c r="C69" s="2"/>
      <c r="D69" s="2"/>
      <c r="R69"/>
      <c r="S69"/>
    </row>
    <row r="70" spans="3:19" ht="23.1" customHeight="1" x14ac:dyDescent="0.25">
      <c r="C70" s="2"/>
      <c r="D70" s="2"/>
      <c r="R70"/>
      <c r="S70"/>
    </row>
    <row r="71" spans="3:19" ht="23.1" customHeight="1" x14ac:dyDescent="0.25">
      <c r="C71" s="2"/>
      <c r="D71" s="2"/>
      <c r="R71"/>
      <c r="S71"/>
    </row>
    <row r="72" spans="3:19" ht="23.1" customHeight="1" x14ac:dyDescent="0.25">
      <c r="C72" s="2"/>
      <c r="D72" s="2"/>
      <c r="R72"/>
      <c r="S72"/>
    </row>
    <row r="73" spans="3:19" ht="23.1" customHeight="1" x14ac:dyDescent="0.25">
      <c r="C73" s="2"/>
      <c r="D73" s="2"/>
      <c r="R73"/>
      <c r="S73"/>
    </row>
    <row r="74" spans="3:19" ht="23.1" customHeight="1" x14ac:dyDescent="0.25">
      <c r="C74" s="2"/>
      <c r="D74" s="2"/>
      <c r="R74"/>
      <c r="S74"/>
    </row>
    <row r="75" spans="3:19" ht="23.1" customHeight="1" x14ac:dyDescent="0.25">
      <c r="C75" s="2"/>
      <c r="D75" s="2"/>
      <c r="R75"/>
      <c r="S75"/>
    </row>
    <row r="76" spans="3:19" ht="23.1" customHeight="1" x14ac:dyDescent="0.25">
      <c r="C76" s="2"/>
      <c r="D76" s="2"/>
      <c r="R76"/>
      <c r="S76"/>
    </row>
    <row r="77" spans="3:19" ht="23.1" customHeight="1" x14ac:dyDescent="0.25">
      <c r="C77" s="2"/>
      <c r="D77" s="2"/>
      <c r="R77"/>
      <c r="S77"/>
    </row>
    <row r="78" spans="3:19" ht="23.1" customHeight="1" x14ac:dyDescent="0.25">
      <c r="C78" s="2"/>
      <c r="D78" s="2"/>
      <c r="R78"/>
      <c r="S78"/>
    </row>
    <row r="79" spans="3:19" ht="23.1" customHeight="1" x14ac:dyDescent="0.25">
      <c r="C79" s="2"/>
      <c r="D79" s="2"/>
      <c r="R79"/>
      <c r="S79"/>
    </row>
    <row r="80" spans="3:19" ht="23.1" customHeight="1" x14ac:dyDescent="0.25">
      <c r="C80" s="2"/>
      <c r="D80" s="2"/>
      <c r="R80"/>
      <c r="S80"/>
    </row>
    <row r="81" spans="3:19" ht="23.1" customHeight="1" x14ac:dyDescent="0.25">
      <c r="C81" s="2"/>
      <c r="D81" s="2"/>
      <c r="R81"/>
      <c r="S81"/>
    </row>
    <row r="82" spans="3:19" ht="23.1" customHeight="1" x14ac:dyDescent="0.25">
      <c r="C82" s="2"/>
      <c r="D82" s="2"/>
      <c r="R82"/>
      <c r="S82"/>
    </row>
    <row r="83" spans="3:19" ht="23.1" customHeight="1" x14ac:dyDescent="0.25">
      <c r="C83" s="2"/>
      <c r="D83" s="2"/>
      <c r="R83"/>
      <c r="S83"/>
    </row>
    <row r="84" spans="3:19" ht="23.1" customHeight="1" x14ac:dyDescent="0.25">
      <c r="C84" s="2"/>
      <c r="D84" s="2"/>
      <c r="R84"/>
      <c r="S84"/>
    </row>
    <row r="85" spans="3:19" ht="23.1" customHeight="1" x14ac:dyDescent="0.25">
      <c r="C85" s="2"/>
      <c r="D85" s="2"/>
      <c r="R85"/>
      <c r="S85"/>
    </row>
    <row r="86" spans="3:19" ht="23.1" customHeight="1" x14ac:dyDescent="0.25">
      <c r="C86" s="13"/>
      <c r="Q86" s="2"/>
      <c r="S86"/>
    </row>
    <row r="87" spans="3:19" ht="23.1" customHeight="1" x14ac:dyDescent="0.25">
      <c r="C87" s="13"/>
      <c r="Q87" s="2"/>
      <c r="S87"/>
    </row>
    <row r="88" spans="3:19" ht="23.1" customHeight="1" x14ac:dyDescent="0.25">
      <c r="C88" s="13"/>
    </row>
    <row r="89" spans="3:19" ht="23.1" customHeight="1" x14ac:dyDescent="0.25">
      <c r="C89" s="13"/>
    </row>
    <row r="90" spans="3:19" ht="23.1" customHeight="1" x14ac:dyDescent="0.25"/>
    <row r="91" spans="3:19" ht="23.1" customHeight="1" x14ac:dyDescent="0.25"/>
    <row r="92" spans="3:19" ht="23.1" customHeight="1" x14ac:dyDescent="0.25"/>
    <row r="93" spans="3:19" ht="23.1" customHeight="1" x14ac:dyDescent="0.25"/>
    <row r="94" spans="3:19" ht="23.1" customHeight="1" x14ac:dyDescent="0.25"/>
    <row r="95" spans="3:19" ht="23.1" customHeight="1" x14ac:dyDescent="0.25"/>
    <row r="96" spans="3:19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  <row r="129" ht="23.1" customHeight="1" x14ac:dyDescent="0.25"/>
    <row r="130" ht="23.1" customHeight="1" x14ac:dyDescent="0.25"/>
    <row r="131" ht="23.1" customHeight="1" x14ac:dyDescent="0.25"/>
    <row r="132" ht="23.1" customHeight="1" x14ac:dyDescent="0.25"/>
    <row r="133" ht="23.1" customHeight="1" x14ac:dyDescent="0.25"/>
    <row r="134" ht="23.1" customHeight="1" x14ac:dyDescent="0.25"/>
    <row r="135" ht="23.1" customHeight="1" x14ac:dyDescent="0.25"/>
    <row r="136" ht="23.1" customHeight="1" x14ac:dyDescent="0.25"/>
    <row r="137" ht="23.1" customHeight="1" x14ac:dyDescent="0.25"/>
    <row r="138" ht="23.1" customHeight="1" x14ac:dyDescent="0.25"/>
    <row r="139" ht="23.1" customHeight="1" x14ac:dyDescent="0.25"/>
    <row r="140" ht="23.1" customHeight="1" x14ac:dyDescent="0.25"/>
    <row r="141" ht="23.1" customHeight="1" x14ac:dyDescent="0.25"/>
    <row r="142" ht="23.1" customHeight="1" x14ac:dyDescent="0.25"/>
    <row r="143" ht="23.1" customHeight="1" x14ac:dyDescent="0.25"/>
    <row r="144" ht="23.1" customHeight="1" x14ac:dyDescent="0.25"/>
    <row r="145" ht="23.1" customHeight="1" x14ac:dyDescent="0.25"/>
    <row r="146" ht="23.1" customHeight="1" x14ac:dyDescent="0.25"/>
    <row r="147" ht="23.1" customHeight="1" x14ac:dyDescent="0.25"/>
    <row r="148" ht="23.1" customHeight="1" x14ac:dyDescent="0.25"/>
    <row r="149" ht="23.1" customHeight="1" x14ac:dyDescent="0.25"/>
    <row r="150" ht="23.1" customHeight="1" x14ac:dyDescent="0.25"/>
    <row r="151" ht="23.1" customHeight="1" x14ac:dyDescent="0.25"/>
  </sheetData>
  <mergeCells count="10">
    <mergeCell ref="B1:P1"/>
    <mergeCell ref="B2:P2"/>
    <mergeCell ref="D5:E5"/>
    <mergeCell ref="G5:H5"/>
    <mergeCell ref="K5:L5"/>
    <mergeCell ref="D6:E6"/>
    <mergeCell ref="G6:H6"/>
    <mergeCell ref="K6:L6"/>
    <mergeCell ref="C8:P8"/>
    <mergeCell ref="C3:F3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B1:AD151"/>
  <sheetViews>
    <sheetView tabSelected="1" view="pageBreakPreview" topLeftCell="A14" zoomScale="55" zoomScaleSheetLayoutView="55" workbookViewId="0">
      <selection activeCell="AB13" sqref="AB13:AC16"/>
    </sheetView>
  </sheetViews>
  <sheetFormatPr defaultColWidth="15" defaultRowHeight="20.100000000000001" customHeight="1" x14ac:dyDescent="0.25"/>
  <cols>
    <col min="1" max="1" width="4.85546875" customWidth="1"/>
    <col min="2" max="2" width="19.570312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5.7109375" customWidth="1"/>
    <col min="10" max="10" width="18.42578125" customWidth="1"/>
    <col min="11" max="11" width="20.42578125" customWidth="1"/>
    <col min="12" max="12" width="19.28515625" customWidth="1"/>
    <col min="13" max="13" width="14.5703125" customWidth="1"/>
    <col min="14" max="14" width="16.28515625" customWidth="1"/>
    <col min="15" max="15" width="14.85546875" customWidth="1"/>
    <col min="16" max="16" width="14.28515625" customWidth="1"/>
    <col min="17" max="17" width="14.7109375" customWidth="1"/>
    <col min="18" max="19" width="10.7109375" style="2" customWidth="1"/>
    <col min="20" max="32" width="10.7109375" customWidth="1"/>
  </cols>
  <sheetData>
    <row r="1" spans="2:30" ht="23.25" customHeight="1" x14ac:dyDescent="0.3"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2:30" ht="20.100000000000001" customHeight="1" x14ac:dyDescent="0.25">
      <c r="B2" s="31" t="s">
        <v>25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2:30" ht="20.100000000000001" customHeight="1" x14ac:dyDescent="0.25">
      <c r="B3" s="1" t="s">
        <v>1</v>
      </c>
      <c r="C3" s="34" t="s">
        <v>31</v>
      </c>
      <c r="D3" s="34"/>
      <c r="E3" s="34"/>
      <c r="F3" s="34"/>
      <c r="G3" s="15"/>
      <c r="H3" s="15"/>
      <c r="I3" s="15"/>
      <c r="J3" s="15"/>
      <c r="K3" s="1"/>
      <c r="L3" s="1"/>
      <c r="M3" s="1"/>
      <c r="N3" s="1"/>
      <c r="O3" s="1"/>
      <c r="P3" s="1"/>
    </row>
    <row r="4" spans="2:30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0" ht="20.100000000000001" customHeight="1" x14ac:dyDescent="0.25">
      <c r="C5" s="3" t="s">
        <v>2</v>
      </c>
      <c r="D5" s="33" t="s">
        <v>30</v>
      </c>
      <c r="E5" s="33"/>
      <c r="F5" s="4" t="s">
        <v>3</v>
      </c>
      <c r="G5" s="35"/>
      <c r="H5" s="36"/>
      <c r="I5" s="5"/>
      <c r="J5" s="3" t="s">
        <v>4</v>
      </c>
      <c r="K5" s="35" t="s">
        <v>14</v>
      </c>
      <c r="L5" s="36"/>
      <c r="M5" s="2"/>
      <c r="N5" s="2"/>
    </row>
    <row r="6" spans="2:30" ht="23.25" customHeight="1" x14ac:dyDescent="0.25">
      <c r="C6" s="3" t="s">
        <v>5</v>
      </c>
      <c r="D6" s="37" t="s">
        <v>28</v>
      </c>
      <c r="E6" s="38"/>
      <c r="F6" s="3" t="s">
        <v>6</v>
      </c>
      <c r="G6" s="37" t="s">
        <v>27</v>
      </c>
      <c r="H6" s="38"/>
      <c r="J6" s="3" t="s">
        <v>7</v>
      </c>
      <c r="K6" s="37" t="s">
        <v>13</v>
      </c>
      <c r="L6" s="38"/>
      <c r="M6" s="2"/>
      <c r="N6" s="2"/>
    </row>
    <row r="7" spans="2:30" ht="20.100000000000001" customHeight="1" x14ac:dyDescent="0.25">
      <c r="D7" s="2"/>
      <c r="E7" s="2"/>
      <c r="R7"/>
      <c r="S7"/>
    </row>
    <row r="8" spans="2:30" ht="50.25" customHeight="1" x14ac:dyDescent="0.25">
      <c r="C8" s="32" t="s">
        <v>26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R8"/>
      <c r="S8"/>
    </row>
    <row r="9" spans="2:30" ht="59.25" customHeight="1" x14ac:dyDescent="0.25">
      <c r="B9" s="14" t="s">
        <v>8</v>
      </c>
      <c r="C9" s="27" t="s">
        <v>15</v>
      </c>
      <c r="D9" s="27" t="s">
        <v>32</v>
      </c>
      <c r="E9" s="27" t="s">
        <v>33</v>
      </c>
      <c r="F9" s="27" t="s">
        <v>34</v>
      </c>
      <c r="G9" s="27" t="s">
        <v>43</v>
      </c>
      <c r="H9" s="27" t="s">
        <v>36</v>
      </c>
      <c r="I9" s="27" t="s">
        <v>37</v>
      </c>
      <c r="J9" s="27" t="s">
        <v>38</v>
      </c>
      <c r="K9" s="27" t="s">
        <v>39</v>
      </c>
      <c r="L9" s="27" t="s">
        <v>40</v>
      </c>
      <c r="M9" s="27" t="s">
        <v>41</v>
      </c>
      <c r="N9" s="27" t="s">
        <v>42</v>
      </c>
      <c r="O9" s="7" t="s">
        <v>10</v>
      </c>
      <c r="P9" s="7" t="s">
        <v>24</v>
      </c>
      <c r="R9"/>
      <c r="S9"/>
    </row>
    <row r="10" spans="2:30" ht="23.1" customHeight="1" x14ac:dyDescent="0.25">
      <c r="B10" s="6" t="s">
        <v>16</v>
      </c>
      <c r="C10" s="8">
        <f>'20-26-HOIMA RBT-BWAISE RBT'!C10+'20-26-BWAISE RBT-HOIMA RBT'!C10</f>
        <v>21842</v>
      </c>
      <c r="D10" s="8">
        <f>'20-26-HOIMA RBT-BWAISE RBT'!D10+'20-26-BWAISE RBT-HOIMA RBT'!D10</f>
        <v>17044.804749094183</v>
      </c>
      <c r="E10" s="8">
        <f>'20-26-HOIMA RBT-BWAISE RBT'!E10+'20-26-BWAISE RBT-HOIMA RBT'!E10</f>
        <v>2637.6129192778385</v>
      </c>
      <c r="F10" s="8">
        <f>'20-26-HOIMA RBT-BWAISE RBT'!F10+'20-26-BWAISE RBT-HOIMA RBT'!F10</f>
        <v>2409.2194628889538</v>
      </c>
      <c r="G10" s="8">
        <f>'20-26-HOIMA RBT-BWAISE RBT'!G10+'20-26-BWAISE RBT-HOIMA RBT'!G10</f>
        <v>6967.9437075279502</v>
      </c>
      <c r="H10" s="8">
        <f>'20-26-HOIMA RBT-BWAISE RBT'!H10+'20-26-BWAISE RBT-HOIMA RBT'!H10</f>
        <v>445.47011989363523</v>
      </c>
      <c r="I10" s="8">
        <f>'20-26-HOIMA RBT-BWAISE RBT'!I10+'20-26-BWAISE RBT-HOIMA RBT'!I10</f>
        <v>148.83297308224607</v>
      </c>
      <c r="J10" s="8">
        <f>'20-26-HOIMA RBT-BWAISE RBT'!J10+'20-26-BWAISE RBT-HOIMA RBT'!J10</f>
        <v>2696.826037600883</v>
      </c>
      <c r="K10" s="8">
        <f>'20-26-HOIMA RBT-BWAISE RBT'!K10+'20-26-BWAISE RBT-HOIMA RBT'!K10</f>
        <v>2225.8645559581378</v>
      </c>
      <c r="L10" s="8">
        <f>'20-26-HOIMA RBT-BWAISE RBT'!L10+'20-26-BWAISE RBT-HOIMA RBT'!L10</f>
        <v>986.84720170432456</v>
      </c>
      <c r="M10" s="8">
        <f>'20-26-HOIMA RBT-BWAISE RBT'!M10+'20-26-BWAISE RBT-HOIMA RBT'!M10</f>
        <v>1189.8636073833329</v>
      </c>
      <c r="N10" s="8">
        <f>'20-26-HOIMA RBT-BWAISE RBT'!N10+'20-26-BWAISE RBT-HOIMA RBT'!N10</f>
        <v>1.7146655885051389</v>
      </c>
      <c r="O10" s="9">
        <f t="shared" ref="O10:O16" si="0">SUM(D10:N10)</f>
        <v>36754.999999999993</v>
      </c>
      <c r="P10" s="9">
        <f t="shared" ref="P10:P16" si="1">SUM(C10:N10)</f>
        <v>58596.999999999993</v>
      </c>
      <c r="R10"/>
      <c r="S10"/>
    </row>
    <row r="11" spans="2:30" s="10" customFormat="1" ht="23.1" customHeight="1" x14ac:dyDescent="0.25">
      <c r="B11" s="6" t="s">
        <v>20</v>
      </c>
      <c r="C11" s="8">
        <f>'20-26-HOIMA RBT-BWAISE RBT'!C11+'20-26-BWAISE RBT-HOIMA RBT'!C11</f>
        <v>19329</v>
      </c>
      <c r="D11" s="8">
        <f>'20-26-HOIMA RBT-BWAISE RBT'!D11+'20-26-BWAISE RBT-HOIMA RBT'!D11</f>
        <v>17634.219708585377</v>
      </c>
      <c r="E11" s="8">
        <f>'20-26-HOIMA RBT-BWAISE RBT'!E11+'20-26-BWAISE RBT-HOIMA RBT'!E11</f>
        <v>2728.8224423468664</v>
      </c>
      <c r="F11" s="8">
        <f>'20-26-HOIMA RBT-BWAISE RBT'!F11+'20-26-BWAISE RBT-HOIMA RBT'!F11</f>
        <v>2492.5310650473502</v>
      </c>
      <c r="G11" s="8">
        <f>'20-26-HOIMA RBT-BWAISE RBT'!G11+'20-26-BWAISE RBT-HOIMA RBT'!G11</f>
        <v>7208.8974948294872</v>
      </c>
      <c r="H11" s="8">
        <f>'20-26-HOIMA RBT-BWAISE RBT'!H11+'20-26-BWAISE RBT-HOIMA RBT'!H11</f>
        <v>460.87462329139902</v>
      </c>
      <c r="I11" s="8">
        <f>'20-26-HOIMA RBT-BWAISE RBT'!I11+'20-26-BWAISE RBT-HOIMA RBT'!I11</f>
        <v>153.97966628827339</v>
      </c>
      <c r="J11" s="8">
        <f>'20-26-HOIMA RBT-BWAISE RBT'!J11+'20-26-BWAISE RBT-HOIMA RBT'!J11</f>
        <v>2790.0831697948897</v>
      </c>
      <c r="K11" s="8">
        <f>'20-26-HOIMA RBT-BWAISE RBT'!K11+'20-26-BWAISE RBT-HOIMA RBT'!K11</f>
        <v>2302.8356850731643</v>
      </c>
      <c r="L11" s="8">
        <f>'20-26-HOIMA RBT-BWAISE RBT'!L11+'20-26-BWAISE RBT-HOIMA RBT'!L11</f>
        <v>1020.9727028161785</v>
      </c>
      <c r="M11" s="8">
        <f>'20-26-HOIMA RBT-BWAISE RBT'!M11+'20-26-BWAISE RBT-HOIMA RBT'!M11</f>
        <v>1231.0094826379709</v>
      </c>
      <c r="N11" s="8">
        <f>'20-26-HOIMA RBT-BWAISE RBT'!N11+'20-26-BWAISE RBT-HOIMA RBT'!N11</f>
        <v>1.7739592890354079</v>
      </c>
      <c r="O11" s="9">
        <f t="shared" si="0"/>
        <v>38025.999999999993</v>
      </c>
      <c r="P11" s="9">
        <f t="shared" si="1"/>
        <v>57354.999999999985</v>
      </c>
    </row>
    <row r="12" spans="2:30" ht="23.1" customHeight="1" x14ac:dyDescent="0.25">
      <c r="B12" s="6" t="s">
        <v>21</v>
      </c>
      <c r="C12" s="8">
        <f>'20-26-HOIMA RBT-BWAISE RBT'!C12+'20-26-BWAISE RBT-HOIMA RBT'!C12</f>
        <v>20206</v>
      </c>
      <c r="D12" s="8">
        <f>'20-26-HOIMA RBT-BWAISE RBT'!D12+'20-26-BWAISE RBT-HOIMA RBT'!D12</f>
        <v>18748.125871211527</v>
      </c>
      <c r="E12" s="8">
        <f>'20-26-HOIMA RBT-BWAISE RBT'!E12+'20-26-BWAISE RBT-HOIMA RBT'!E12</f>
        <v>2901.1948061641806</v>
      </c>
      <c r="F12" s="8">
        <f>'20-26-HOIMA RBT-BWAISE RBT'!F12+'20-26-BWAISE RBT-HOIMA RBT'!F12</f>
        <v>2649.9775389926435</v>
      </c>
      <c r="G12" s="8">
        <f>'20-26-HOIMA RBT-BWAISE RBT'!G12+'20-26-BWAISE RBT-HOIMA RBT'!G12</f>
        <v>7664.2641329870748</v>
      </c>
      <c r="H12" s="8">
        <f>'20-26-HOIMA RBT-BWAISE RBT'!H12+'20-26-BWAISE RBT-HOIMA RBT'!H12</f>
        <v>489.98683191565453</v>
      </c>
      <c r="I12" s="8">
        <f>'20-26-HOIMA RBT-BWAISE RBT'!I12+'20-26-BWAISE RBT-HOIMA RBT'!I12</f>
        <v>163.706147075746</v>
      </c>
      <c r="J12" s="8">
        <f>'20-26-HOIMA RBT-BWAISE RBT'!J12+'20-26-BWAISE RBT-HOIMA RBT'!J12</f>
        <v>2966.3252087642086</v>
      </c>
      <c r="K12" s="8">
        <f>'20-26-HOIMA RBT-BWAISE RBT'!K12+'20-26-BWAISE RBT-HOIMA RBT'!K12</f>
        <v>2448.2996127948736</v>
      </c>
      <c r="L12" s="8">
        <f>'20-26-HOIMA RBT-BWAISE RBT'!L12+'20-26-BWAISE RBT-HOIMA RBT'!L12</f>
        <v>1085.4647985444817</v>
      </c>
      <c r="M12" s="8">
        <f>'20-26-HOIMA RBT-BWAISE RBT'!M12+'20-26-BWAISE RBT-HOIMA RBT'!M12</f>
        <v>1308.7690360302922</v>
      </c>
      <c r="N12" s="8">
        <f>'20-26-HOIMA RBT-BWAISE RBT'!N12+'20-26-BWAISE RBT-HOIMA RBT'!N12</f>
        <v>1.8860155193058294</v>
      </c>
      <c r="O12" s="9">
        <f t="shared" si="0"/>
        <v>40427.999999999993</v>
      </c>
      <c r="P12" s="9">
        <f t="shared" si="1"/>
        <v>60633.999999999985</v>
      </c>
      <c r="R12"/>
      <c r="S12"/>
    </row>
    <row r="13" spans="2:30" ht="23.1" customHeight="1" x14ac:dyDescent="0.25">
      <c r="B13" s="6" t="s">
        <v>17</v>
      </c>
      <c r="C13" s="8">
        <f>'20-26-HOIMA RBT-BWAISE RBT'!C13+'20-26-BWAISE RBT-HOIMA RBT'!C13</f>
        <v>19976</v>
      </c>
      <c r="D13" s="8">
        <f>'20-26-HOIMA RBT-BWAISE RBT'!D13+'20-26-BWAISE RBT-HOIMA RBT'!D13</f>
        <v>18752.763282379827</v>
      </c>
      <c r="E13" s="8">
        <f>'20-26-HOIMA RBT-BWAISE RBT'!E13+'20-26-BWAISE RBT-HOIMA RBT'!E13</f>
        <v>2901.9124263299477</v>
      </c>
      <c r="F13" s="8">
        <f>'20-26-HOIMA RBT-BWAISE RBT'!F13+'20-26-BWAISE RBT-HOIMA RBT'!F13</f>
        <v>2650.6330197334651</v>
      </c>
      <c r="G13" s="8">
        <f>'20-26-HOIMA RBT-BWAISE RBT'!G13+'20-26-BWAISE RBT-HOIMA RBT'!G13</f>
        <v>7666.1599141617535</v>
      </c>
      <c r="H13" s="8">
        <f>'20-26-HOIMA RBT-BWAISE RBT'!H13+'20-26-BWAISE RBT-HOIMA RBT'!H13</f>
        <v>490.10803178503113</v>
      </c>
      <c r="I13" s="8">
        <f>'20-26-HOIMA RBT-BWAISE RBT'!I13+'20-26-BWAISE RBT-HOIMA RBT'!I13</f>
        <v>163.74664033464472</v>
      </c>
      <c r="J13" s="8">
        <f>'20-26-HOIMA RBT-BWAISE RBT'!J13+'20-26-BWAISE RBT-HOIMA RBT'!J13</f>
        <v>2967.0589391512581</v>
      </c>
      <c r="K13" s="8">
        <f>'20-26-HOIMA RBT-BWAISE RBT'!K13+'20-26-BWAISE RBT-HOIMA RBT'!K13</f>
        <v>2448.9052078311838</v>
      </c>
      <c r="L13" s="8">
        <f>'20-26-HOIMA RBT-BWAISE RBT'!L13+'20-26-BWAISE RBT-HOIMA RBT'!L13</f>
        <v>1085.733291865582</v>
      </c>
      <c r="M13" s="8">
        <f>'20-26-HOIMA RBT-BWAISE RBT'!M13+'20-26-BWAISE RBT-HOIMA RBT'!M13</f>
        <v>1309.0927643957889</v>
      </c>
      <c r="N13" s="8">
        <f>'20-26-HOIMA RBT-BWAISE RBT'!N13+'20-26-BWAISE RBT-HOIMA RBT'!N13</f>
        <v>1.8864820315051234</v>
      </c>
      <c r="O13" s="9">
        <f t="shared" si="0"/>
        <v>40437.999999999993</v>
      </c>
      <c r="P13" s="9">
        <f t="shared" si="1"/>
        <v>60413.999999999993</v>
      </c>
      <c r="R13"/>
      <c r="S13"/>
      <c r="AB13" s="28">
        <f>AVERAGE(O10:O13)</f>
        <v>38911.749999999993</v>
      </c>
      <c r="AC13" s="28">
        <f>AVERAGE(P10:P13)</f>
        <v>59249.999999999985</v>
      </c>
    </row>
    <row r="14" spans="2:30" ht="23.1" customHeight="1" x14ac:dyDescent="0.25">
      <c r="B14" s="6" t="s">
        <v>18</v>
      </c>
      <c r="C14" s="8">
        <f>'20-26-HOIMA RBT-BWAISE RBT'!C14+'20-26-BWAISE RBT-HOIMA RBT'!C14</f>
        <v>22659</v>
      </c>
      <c r="D14" s="8">
        <f>'20-26-HOIMA RBT-BWAISE RBT'!D14+'20-26-BWAISE RBT-HOIMA RBT'!D14</f>
        <v>20089.265181084476</v>
      </c>
      <c r="E14" s="8">
        <f>'20-26-HOIMA RBT-BWAISE RBT'!E14+'20-26-BWAISE RBT-HOIMA RBT'!E14</f>
        <v>3108.7305581040937</v>
      </c>
      <c r="F14" s="8">
        <f>'20-26-HOIMA RBT-BWAISE RBT'!F14+'20-26-BWAISE RBT-HOIMA RBT'!F14</f>
        <v>2839.5425692381846</v>
      </c>
      <c r="G14" s="8">
        <f>'20-26-HOIMA RBT-BWAISE RBT'!G14+'20-26-BWAISE RBT-HOIMA RBT'!G14</f>
        <v>8212.5240487038718</v>
      </c>
      <c r="H14" s="8">
        <f>'20-26-HOIMA RBT-BWAISE RBT'!H14+'20-26-BWAISE RBT-HOIMA RBT'!H14</f>
        <v>525.03783413936276</v>
      </c>
      <c r="I14" s="8">
        <f>'20-26-HOIMA RBT-BWAISE RBT'!I14+'20-26-BWAISE RBT-HOIMA RBT'!I14</f>
        <v>175.41679754925588</v>
      </c>
      <c r="J14" s="8">
        <f>'20-26-HOIMA RBT-BWAISE RBT'!J14+'20-26-BWAISE RBT-HOIMA RBT'!J14</f>
        <v>3178.5200366989593</v>
      </c>
      <c r="K14" s="8">
        <f>'20-26-HOIMA RBT-BWAISE RBT'!K14+'20-26-BWAISE RBT-HOIMA RBT'!K14</f>
        <v>2623.4376972957834</v>
      </c>
      <c r="L14" s="8">
        <f>'20-26-HOIMA RBT-BWAISE RBT'!L14+'20-26-BWAISE RBT-HOIMA RBT'!L14</f>
        <v>1163.1130670067023</v>
      </c>
      <c r="M14" s="8">
        <f>'20-26-HOIMA RBT-BWAISE RBT'!M14+'20-26-BWAISE RBT-HOIMA RBT'!M14</f>
        <v>1402.3912793319546</v>
      </c>
      <c r="N14" s="8">
        <f>'20-26-HOIMA RBT-BWAISE RBT'!N14+'20-26-BWAISE RBT-HOIMA RBT'!N14</f>
        <v>2.0209308473416576</v>
      </c>
      <c r="O14" s="9">
        <f t="shared" si="0"/>
        <v>43319.999999999978</v>
      </c>
      <c r="P14" s="9">
        <f t="shared" si="1"/>
        <v>65978.999999999985</v>
      </c>
      <c r="R14"/>
      <c r="S14"/>
      <c r="AB14" s="29">
        <f>O14/AB13</f>
        <v>1.1132884026033265</v>
      </c>
      <c r="AC14" s="29">
        <f>P14/AC13</f>
        <v>1.1135696202531646</v>
      </c>
    </row>
    <row r="15" spans="2:30" ht="23.1" customHeight="1" x14ac:dyDescent="0.25">
      <c r="B15" s="6" t="s">
        <v>19</v>
      </c>
      <c r="C15" s="8">
        <f>'20-26-HOIMA RBT-BWAISE RBT'!C15+'20-26-BWAISE RBT-HOIMA RBT'!C15</f>
        <v>22596</v>
      </c>
      <c r="D15" s="8">
        <f>'20-26-HOIMA RBT-BWAISE RBT'!D15+'20-26-BWAISE RBT-HOIMA RBT'!D15</f>
        <v>18544.079779806234</v>
      </c>
      <c r="E15" s="8">
        <f>'20-26-HOIMA RBT-BWAISE RBT'!E15+'20-26-BWAISE RBT-HOIMA RBT'!E15</f>
        <v>2869.6195188704178</v>
      </c>
      <c r="F15" s="8">
        <f>'20-26-HOIMA RBT-BWAISE RBT'!F15+'20-26-BWAISE RBT-HOIMA RBT'!F15</f>
        <v>2621.1363863965034</v>
      </c>
      <c r="G15" s="8">
        <f>'20-26-HOIMA RBT-BWAISE RBT'!G15+'20-26-BWAISE RBT-HOIMA RBT'!G15</f>
        <v>7580.8497613012551</v>
      </c>
      <c r="H15" s="8">
        <f>'20-26-HOIMA RBT-BWAISE RBT'!H15+'20-26-BWAISE RBT-HOIMA RBT'!H15</f>
        <v>484.65403766308486</v>
      </c>
      <c r="I15" s="8">
        <f>'20-26-HOIMA RBT-BWAISE RBT'!I15+'20-26-BWAISE RBT-HOIMA RBT'!I15</f>
        <v>161.92444368420232</v>
      </c>
      <c r="J15" s="8">
        <f>'20-26-HOIMA RBT-BWAISE RBT'!J15+'20-26-BWAISE RBT-HOIMA RBT'!J15</f>
        <v>2934.0410717340251</v>
      </c>
      <c r="K15" s="8">
        <f>'20-26-HOIMA RBT-BWAISE RBT'!K15+'20-26-BWAISE RBT-HOIMA RBT'!K15</f>
        <v>2421.653431197225</v>
      </c>
      <c r="L15" s="8">
        <f>'20-26-HOIMA RBT-BWAISE RBT'!L15+'20-26-BWAISE RBT-HOIMA RBT'!L15</f>
        <v>1073.6510924160666</v>
      </c>
      <c r="M15" s="8">
        <f>'20-26-HOIMA RBT-BWAISE RBT'!M15+'20-26-BWAISE RBT-HOIMA RBT'!M15</f>
        <v>1294.5249879484347</v>
      </c>
      <c r="N15" s="8">
        <f>'20-26-HOIMA RBT-BWAISE RBT'!N15+'20-26-BWAISE RBT-HOIMA RBT'!N15</f>
        <v>1.865488982536893</v>
      </c>
      <c r="O15" s="9">
        <f t="shared" si="0"/>
        <v>39987.999999999985</v>
      </c>
      <c r="P15" s="9">
        <f t="shared" si="1"/>
        <v>62583.999999999993</v>
      </c>
      <c r="R15"/>
      <c r="S15"/>
      <c r="AB15" s="29">
        <f>O15/AB13</f>
        <v>1.0276587406117688</v>
      </c>
      <c r="AC15" s="29">
        <f>P15/AC13</f>
        <v>1.0562700421940929</v>
      </c>
    </row>
    <row r="16" spans="2:30" ht="23.1" customHeight="1" x14ac:dyDescent="0.25">
      <c r="B16" s="6" t="s">
        <v>22</v>
      </c>
      <c r="C16" s="8">
        <f>'20-26-HOIMA RBT-BWAISE RBT'!C16+'20-26-BWAISE RBT-HOIMA RBT'!C16</f>
        <v>20584</v>
      </c>
      <c r="D16" s="8">
        <f>'20-26-HOIMA RBT-BWAISE RBT'!D16+'20-26-BWAISE RBT-HOIMA RBT'!D16</f>
        <v>17463.099236475027</v>
      </c>
      <c r="E16" s="8">
        <f>'20-26-HOIMA RBT-BWAISE RBT'!E16+'20-26-BWAISE RBT-HOIMA RBT'!E16</f>
        <v>2702.3422582300518</v>
      </c>
      <c r="F16" s="8">
        <f>'20-26-HOIMA RBT-BWAISE RBT'!F16+'20-26-BWAISE RBT-HOIMA RBT'!F16</f>
        <v>2468.3438257110415</v>
      </c>
      <c r="G16" s="8">
        <f>'20-26-HOIMA RBT-BWAISE RBT'!G16+'20-26-BWAISE RBT-HOIMA RBT'!G16</f>
        <v>7138.9431694838804</v>
      </c>
      <c r="H16" s="8">
        <f>'20-26-HOIMA RBT-BWAISE RBT'!H16+'20-26-BWAISE RBT-HOIMA RBT'!H16</f>
        <v>456.40234811140306</v>
      </c>
      <c r="I16" s="8">
        <f>'20-26-HOIMA RBT-BWAISE RBT'!I16+'20-26-BWAISE RBT-HOIMA RBT'!I16</f>
        <v>152.48546503491065</v>
      </c>
      <c r="J16" s="8">
        <f>'20-26-HOIMA RBT-BWAISE RBT'!J16+'20-26-BWAISE RBT-HOIMA RBT'!J16</f>
        <v>2763.0085185127582</v>
      </c>
      <c r="K16" s="8">
        <f>'20-26-HOIMA RBT-BWAISE RBT'!K16+'20-26-BWAISE RBT-HOIMA RBT'!K16</f>
        <v>2280.4892282333176</v>
      </c>
      <c r="L16" s="8">
        <f>'20-26-HOIMA RBT-BWAISE RBT'!L16+'20-26-BWAISE RBT-HOIMA RBT'!L16</f>
        <v>1011.0652992675757</v>
      </c>
      <c r="M16" s="8">
        <f>'20-26-HOIMA RBT-BWAISE RBT'!M16+'20-26-BWAISE RBT-HOIMA RBT'!M16</f>
        <v>1219.0639059511404</v>
      </c>
      <c r="N16" s="8">
        <f>'20-26-HOIMA RBT-BWAISE RBT'!N16+'20-26-BWAISE RBT-HOIMA RBT'!N16</f>
        <v>1.7567449888814588</v>
      </c>
      <c r="O16" s="9">
        <f t="shared" si="0"/>
        <v>37656.999999999985</v>
      </c>
      <c r="P16" s="9">
        <f t="shared" si="1"/>
        <v>58240.999999999985</v>
      </c>
      <c r="R16"/>
      <c r="S16"/>
      <c r="AB16" s="29">
        <f>O16/AB13</f>
        <v>0.96775395606725456</v>
      </c>
      <c r="AC16" s="29">
        <f>P16/AC13</f>
        <v>0.98297046413502109</v>
      </c>
    </row>
    <row r="17" spans="2:19" ht="26.25" customHeight="1" x14ac:dyDescent="0.25">
      <c r="B17" s="16" t="s">
        <v>23</v>
      </c>
      <c r="C17" s="11">
        <f t="shared" ref="C17:P17" si="2">AVERAGE(C10:C16)</f>
        <v>21027.428571428572</v>
      </c>
      <c r="D17" s="11">
        <f t="shared" si="2"/>
        <v>18325.193972662379</v>
      </c>
      <c r="E17" s="11">
        <f t="shared" si="2"/>
        <v>2835.7478470461997</v>
      </c>
      <c r="F17" s="11">
        <f t="shared" si="2"/>
        <v>2590.1976954297347</v>
      </c>
      <c r="G17" s="11">
        <f t="shared" si="2"/>
        <v>7491.3688898564669</v>
      </c>
      <c r="H17" s="11">
        <f t="shared" si="2"/>
        <v>478.93340382851011</v>
      </c>
      <c r="I17" s="11">
        <f t="shared" si="2"/>
        <v>160.01316186418271</v>
      </c>
      <c r="J17" s="11">
        <f t="shared" si="2"/>
        <v>2899.4089974652829</v>
      </c>
      <c r="K17" s="11">
        <f t="shared" si="2"/>
        <v>2393.0693454833831</v>
      </c>
      <c r="L17" s="11">
        <f t="shared" si="2"/>
        <v>1060.9782076601302</v>
      </c>
      <c r="M17" s="11">
        <f t="shared" si="2"/>
        <v>1279.245009096988</v>
      </c>
      <c r="N17" s="11">
        <f t="shared" si="2"/>
        <v>1.8434696067302154</v>
      </c>
      <c r="O17" s="12">
        <f t="shared" si="2"/>
        <v>39515.999999999993</v>
      </c>
      <c r="P17" s="12">
        <f t="shared" si="2"/>
        <v>60543.428571428565</v>
      </c>
      <c r="R17"/>
      <c r="S17"/>
    </row>
    <row r="18" spans="2:19" ht="23.1" customHeight="1" x14ac:dyDescent="0.25">
      <c r="B18" s="18" t="s">
        <v>11</v>
      </c>
      <c r="C18" s="17">
        <f>C$17/P$17</f>
        <v>0.34731149304867348</v>
      </c>
      <c r="D18" s="17">
        <f t="shared" ref="D18:N18" si="3">D17/$P$17</f>
        <v>0.30267849715584721</v>
      </c>
      <c r="E18" s="17">
        <f t="shared" si="3"/>
        <v>4.683824345528452E-2</v>
      </c>
      <c r="F18" s="17">
        <f t="shared" si="3"/>
        <v>4.2782474606205094E-2</v>
      </c>
      <c r="G18" s="17">
        <f t="shared" si="3"/>
        <v>0.12373545844068314</v>
      </c>
      <c r="H18" s="17">
        <f t="shared" si="3"/>
        <v>7.9105761786098551E-3</v>
      </c>
      <c r="I18" s="17">
        <f t="shared" si="3"/>
        <v>2.6429484692199203E-3</v>
      </c>
      <c r="J18" s="17">
        <f t="shared" si="3"/>
        <v>4.7889739082823624E-2</v>
      </c>
      <c r="K18" s="17">
        <f t="shared" si="3"/>
        <v>3.9526492006643835E-2</v>
      </c>
      <c r="L18" s="17">
        <f t="shared" si="3"/>
        <v>1.7524250487538844E-2</v>
      </c>
      <c r="M18" s="17">
        <f t="shared" si="3"/>
        <v>2.112937835338722E-2</v>
      </c>
      <c r="N18" s="17">
        <f t="shared" si="3"/>
        <v>3.0448715083178801E-5</v>
      </c>
      <c r="O18" s="12">
        <f>SUM(O10:O16)</f>
        <v>276611.99999999994</v>
      </c>
      <c r="P18" s="12">
        <f>SUM(P10:P16)</f>
        <v>423803.99999999994</v>
      </c>
      <c r="R18"/>
      <c r="S18"/>
    </row>
    <row r="19" spans="2:19" ht="23.1" customHeight="1" x14ac:dyDescent="0.25">
      <c r="B19" s="19" t="s">
        <v>12</v>
      </c>
      <c r="C19" s="17"/>
      <c r="D19" s="17">
        <f t="shared" ref="D19:N19" si="4">D$17/$O$17</f>
        <v>0.46374111683020502</v>
      </c>
      <c r="E19" s="17">
        <f t="shared" si="4"/>
        <v>7.1762016576733478E-2</v>
      </c>
      <c r="F19" s="17">
        <f t="shared" si="4"/>
        <v>6.5548074082137239E-2</v>
      </c>
      <c r="G19" s="17">
        <f t="shared" si="4"/>
        <v>0.18957811746777176</v>
      </c>
      <c r="H19" s="17">
        <f t="shared" si="4"/>
        <v>1.2119986937658422E-2</v>
      </c>
      <c r="I19" s="17">
        <f t="shared" si="4"/>
        <v>4.0493258898720201E-3</v>
      </c>
      <c r="J19" s="17">
        <f t="shared" si="4"/>
        <v>7.3373038704962132E-2</v>
      </c>
      <c r="K19" s="17">
        <f t="shared" si="4"/>
        <v>6.0559503631019931E-2</v>
      </c>
      <c r="L19" s="17">
        <f t="shared" si="4"/>
        <v>2.6849332110034679E-2</v>
      </c>
      <c r="M19" s="17">
        <f t="shared" si="4"/>
        <v>3.2372836549675786E-2</v>
      </c>
      <c r="N19" s="17">
        <f t="shared" si="4"/>
        <v>4.6651219929401145E-5</v>
      </c>
      <c r="O19" s="12"/>
      <c r="P19" s="12"/>
      <c r="R19"/>
      <c r="S19"/>
    </row>
    <row r="20" spans="2:19" ht="23.1" customHeight="1" x14ac:dyDescent="0.25">
      <c r="D20" s="2"/>
      <c r="E20" s="2"/>
      <c r="R20"/>
      <c r="S20"/>
    </row>
    <row r="21" spans="2:19" ht="23.1" customHeight="1" x14ac:dyDescent="0.25">
      <c r="D21" s="2"/>
      <c r="E21" s="2"/>
      <c r="R21"/>
      <c r="S21"/>
    </row>
    <row r="22" spans="2:19" ht="23.1" customHeight="1" x14ac:dyDescent="0.25">
      <c r="D22" s="2"/>
      <c r="E22" s="2"/>
      <c r="R22"/>
      <c r="S22"/>
    </row>
    <row r="23" spans="2:19" ht="23.1" customHeight="1" x14ac:dyDescent="0.25">
      <c r="C23" s="2"/>
      <c r="D23" s="2"/>
      <c r="R23"/>
      <c r="S23"/>
    </row>
    <row r="24" spans="2:19" ht="23.1" customHeight="1" x14ac:dyDescent="0.25">
      <c r="C24" s="2"/>
      <c r="D24" s="2"/>
      <c r="R24"/>
      <c r="S24"/>
    </row>
    <row r="25" spans="2:19" ht="23.1" customHeight="1" x14ac:dyDescent="0.25">
      <c r="C25" s="2"/>
      <c r="D25" s="2"/>
      <c r="R25"/>
      <c r="S25"/>
    </row>
    <row r="26" spans="2:19" ht="23.1" customHeight="1" x14ac:dyDescent="0.25">
      <c r="C26" s="2"/>
      <c r="D26" s="2"/>
      <c r="R26"/>
      <c r="S26"/>
    </row>
    <row r="27" spans="2:19" ht="23.1" customHeight="1" x14ac:dyDescent="0.25">
      <c r="C27" s="2"/>
      <c r="D27" s="2"/>
      <c r="R27"/>
      <c r="S27"/>
    </row>
    <row r="28" spans="2:19" ht="23.1" customHeight="1" x14ac:dyDescent="0.25">
      <c r="C28" s="2"/>
      <c r="D28" s="2"/>
      <c r="R28"/>
      <c r="S28"/>
    </row>
    <row r="29" spans="2:19" ht="23.1" customHeight="1" x14ac:dyDescent="0.25">
      <c r="C29" s="2"/>
      <c r="D29" s="2"/>
      <c r="R29"/>
      <c r="S29"/>
    </row>
    <row r="30" spans="2:19" ht="23.1" customHeight="1" x14ac:dyDescent="0.25">
      <c r="C30" s="2"/>
      <c r="D30" s="2"/>
      <c r="R30"/>
      <c r="S30"/>
    </row>
    <row r="31" spans="2:19" ht="23.1" customHeight="1" x14ac:dyDescent="0.25">
      <c r="C31" s="2"/>
      <c r="D31" s="2"/>
      <c r="R31"/>
      <c r="S31"/>
    </row>
    <row r="32" spans="2:19" ht="23.1" customHeight="1" x14ac:dyDescent="0.25">
      <c r="C32" s="2"/>
      <c r="D32" s="2"/>
      <c r="R32"/>
      <c r="S32"/>
    </row>
    <row r="33" spans="3:19" ht="23.1" customHeight="1" x14ac:dyDescent="0.25">
      <c r="C33" s="2"/>
      <c r="D33" s="2"/>
      <c r="R33"/>
      <c r="S33"/>
    </row>
    <row r="34" spans="3:19" ht="23.1" customHeight="1" x14ac:dyDescent="0.25">
      <c r="C34" s="2"/>
      <c r="D34" s="2"/>
      <c r="R34"/>
      <c r="S34"/>
    </row>
    <row r="35" spans="3:19" ht="23.1" customHeight="1" x14ac:dyDescent="0.25">
      <c r="C35" s="2"/>
      <c r="D35" s="2"/>
      <c r="R35"/>
      <c r="S35"/>
    </row>
    <row r="36" spans="3:19" ht="23.1" customHeight="1" x14ac:dyDescent="0.25">
      <c r="C36" s="2"/>
      <c r="D36" s="2"/>
      <c r="R36"/>
      <c r="S36"/>
    </row>
    <row r="37" spans="3:19" ht="23.1" customHeight="1" x14ac:dyDescent="0.25">
      <c r="C37" s="2"/>
      <c r="D37" s="2"/>
      <c r="R37"/>
      <c r="S37"/>
    </row>
    <row r="38" spans="3:19" ht="23.1" customHeight="1" x14ac:dyDescent="0.25">
      <c r="C38" s="2"/>
      <c r="D38" s="2"/>
      <c r="R38"/>
      <c r="S38"/>
    </row>
    <row r="39" spans="3:19" ht="23.1" customHeight="1" x14ac:dyDescent="0.25">
      <c r="C39" s="2"/>
      <c r="D39" s="2"/>
      <c r="R39"/>
      <c r="S39"/>
    </row>
    <row r="40" spans="3:19" ht="23.1" customHeight="1" x14ac:dyDescent="0.25">
      <c r="C40" s="2"/>
      <c r="D40" s="2"/>
      <c r="R40"/>
      <c r="S40"/>
    </row>
    <row r="41" spans="3:19" ht="23.1" customHeight="1" x14ac:dyDescent="0.25">
      <c r="C41" s="2"/>
      <c r="D41" s="2"/>
      <c r="R41"/>
      <c r="S41"/>
    </row>
    <row r="42" spans="3:19" ht="23.1" customHeight="1" x14ac:dyDescent="0.25">
      <c r="C42" s="2"/>
      <c r="D42" s="2"/>
      <c r="R42"/>
      <c r="S42"/>
    </row>
    <row r="43" spans="3:19" ht="23.1" customHeight="1" x14ac:dyDescent="0.25">
      <c r="C43" s="2"/>
      <c r="D43" s="2"/>
      <c r="R43"/>
      <c r="S43"/>
    </row>
    <row r="44" spans="3:19" ht="23.1" customHeight="1" x14ac:dyDescent="0.25">
      <c r="C44" s="2"/>
      <c r="D44" s="2"/>
      <c r="R44"/>
      <c r="S44"/>
    </row>
    <row r="45" spans="3:19" ht="23.1" customHeight="1" x14ac:dyDescent="0.25">
      <c r="C45" s="2"/>
      <c r="D45" s="2"/>
      <c r="R45"/>
      <c r="S45"/>
    </row>
    <row r="46" spans="3:19" ht="23.1" customHeight="1" x14ac:dyDescent="0.25">
      <c r="C46" s="2"/>
      <c r="D46" s="2"/>
      <c r="R46"/>
      <c r="S46"/>
    </row>
    <row r="47" spans="3:19" ht="23.1" customHeight="1" x14ac:dyDescent="0.25">
      <c r="C47" s="2"/>
      <c r="D47" s="2"/>
      <c r="R47"/>
      <c r="S47"/>
    </row>
    <row r="48" spans="3:19" ht="23.1" customHeight="1" x14ac:dyDescent="0.25">
      <c r="C48" s="2"/>
      <c r="D48" s="2"/>
      <c r="R48"/>
      <c r="S48"/>
    </row>
    <row r="49" spans="3:19" ht="23.1" customHeight="1" x14ac:dyDescent="0.25">
      <c r="C49" s="2"/>
      <c r="D49" s="2"/>
      <c r="R49"/>
      <c r="S49"/>
    </row>
    <row r="50" spans="3:19" ht="23.1" customHeight="1" x14ac:dyDescent="0.25">
      <c r="C50" s="2"/>
      <c r="D50" s="2"/>
      <c r="R50"/>
      <c r="S50"/>
    </row>
    <row r="51" spans="3:19" ht="23.1" customHeight="1" x14ac:dyDescent="0.25">
      <c r="C51" s="2"/>
      <c r="D51" s="2"/>
      <c r="R51"/>
      <c r="S51"/>
    </row>
    <row r="52" spans="3:19" ht="23.1" customHeight="1" x14ac:dyDescent="0.25">
      <c r="C52" s="2"/>
      <c r="D52" s="2"/>
      <c r="R52"/>
      <c r="S52"/>
    </row>
    <row r="53" spans="3:19" ht="23.1" customHeight="1" x14ac:dyDescent="0.25">
      <c r="C53" s="2"/>
      <c r="D53" s="2"/>
      <c r="R53"/>
      <c r="S53"/>
    </row>
    <row r="54" spans="3:19" ht="23.1" customHeight="1" x14ac:dyDescent="0.25">
      <c r="C54" s="2"/>
      <c r="D54" s="2"/>
      <c r="R54"/>
      <c r="S54"/>
    </row>
    <row r="55" spans="3:19" ht="23.1" customHeight="1" x14ac:dyDescent="0.25">
      <c r="C55" s="2"/>
      <c r="D55" s="2"/>
      <c r="R55"/>
      <c r="S55"/>
    </row>
    <row r="56" spans="3:19" ht="23.1" customHeight="1" x14ac:dyDescent="0.25">
      <c r="C56" s="2"/>
      <c r="D56" s="2"/>
      <c r="R56"/>
      <c r="S56"/>
    </row>
    <row r="57" spans="3:19" ht="23.1" customHeight="1" x14ac:dyDescent="0.25">
      <c r="C57" s="2"/>
      <c r="D57" s="2"/>
      <c r="R57"/>
      <c r="S57"/>
    </row>
    <row r="58" spans="3:19" ht="23.1" customHeight="1" x14ac:dyDescent="0.25">
      <c r="C58" s="2"/>
      <c r="D58" s="2"/>
      <c r="R58"/>
      <c r="S58"/>
    </row>
    <row r="59" spans="3:19" ht="23.1" customHeight="1" x14ac:dyDescent="0.25">
      <c r="C59" s="2"/>
      <c r="D59" s="2"/>
      <c r="R59"/>
      <c r="S59"/>
    </row>
    <row r="60" spans="3:19" ht="23.1" customHeight="1" x14ac:dyDescent="0.25">
      <c r="C60" s="2"/>
      <c r="D60" s="2"/>
      <c r="R60"/>
      <c r="S60"/>
    </row>
    <row r="61" spans="3:19" ht="23.1" customHeight="1" x14ac:dyDescent="0.25">
      <c r="C61" s="2"/>
      <c r="D61" s="2"/>
      <c r="R61"/>
      <c r="S61"/>
    </row>
    <row r="62" spans="3:19" ht="23.1" customHeight="1" x14ac:dyDescent="0.25">
      <c r="C62" s="2"/>
      <c r="D62" s="2"/>
      <c r="R62"/>
      <c r="S62"/>
    </row>
    <row r="63" spans="3:19" ht="23.1" customHeight="1" x14ac:dyDescent="0.25">
      <c r="C63" s="2"/>
      <c r="D63" s="2"/>
      <c r="R63"/>
      <c r="S63"/>
    </row>
    <row r="64" spans="3:19" ht="23.1" customHeight="1" x14ac:dyDescent="0.25">
      <c r="C64" s="2"/>
      <c r="D64" s="2"/>
      <c r="R64"/>
      <c r="S64"/>
    </row>
    <row r="65" spans="3:19" ht="23.1" customHeight="1" x14ac:dyDescent="0.25">
      <c r="C65" s="2"/>
      <c r="D65" s="2"/>
      <c r="R65"/>
      <c r="S65"/>
    </row>
    <row r="66" spans="3:19" ht="23.1" customHeight="1" x14ac:dyDescent="0.25">
      <c r="C66" s="2"/>
      <c r="D66" s="2"/>
      <c r="R66"/>
      <c r="S66"/>
    </row>
    <row r="67" spans="3:19" ht="23.1" customHeight="1" x14ac:dyDescent="0.25">
      <c r="C67" s="2"/>
      <c r="D67" s="2"/>
      <c r="R67"/>
      <c r="S67"/>
    </row>
    <row r="68" spans="3:19" ht="23.1" customHeight="1" x14ac:dyDescent="0.25">
      <c r="C68" s="2"/>
      <c r="D68" s="2"/>
      <c r="R68"/>
      <c r="S68"/>
    </row>
    <row r="69" spans="3:19" ht="23.1" customHeight="1" x14ac:dyDescent="0.25">
      <c r="C69" s="2"/>
      <c r="D69" s="2"/>
      <c r="R69"/>
      <c r="S69"/>
    </row>
    <row r="70" spans="3:19" ht="23.1" customHeight="1" x14ac:dyDescent="0.25">
      <c r="C70" s="2"/>
      <c r="D70" s="2"/>
      <c r="R70"/>
      <c r="S70"/>
    </row>
    <row r="71" spans="3:19" ht="23.1" customHeight="1" x14ac:dyDescent="0.25">
      <c r="C71" s="2"/>
      <c r="D71" s="2"/>
      <c r="R71"/>
      <c r="S71"/>
    </row>
    <row r="72" spans="3:19" ht="23.1" customHeight="1" x14ac:dyDescent="0.25">
      <c r="C72" s="2"/>
      <c r="D72" s="2"/>
      <c r="R72"/>
      <c r="S72"/>
    </row>
    <row r="73" spans="3:19" ht="23.1" customHeight="1" x14ac:dyDescent="0.25">
      <c r="C73" s="2"/>
      <c r="D73" s="2"/>
      <c r="R73"/>
      <c r="S73"/>
    </row>
    <row r="74" spans="3:19" ht="23.1" customHeight="1" x14ac:dyDescent="0.25">
      <c r="C74" s="2"/>
      <c r="D74" s="2"/>
      <c r="R74"/>
      <c r="S74"/>
    </row>
    <row r="75" spans="3:19" ht="23.1" customHeight="1" x14ac:dyDescent="0.25">
      <c r="C75" s="2"/>
      <c r="D75" s="2"/>
      <c r="R75"/>
      <c r="S75"/>
    </row>
    <row r="76" spans="3:19" ht="23.1" customHeight="1" x14ac:dyDescent="0.25">
      <c r="C76" s="2"/>
      <c r="D76" s="2"/>
      <c r="R76"/>
      <c r="S76"/>
    </row>
    <row r="77" spans="3:19" ht="23.1" customHeight="1" x14ac:dyDescent="0.25">
      <c r="C77" s="2"/>
      <c r="D77" s="2"/>
      <c r="R77"/>
      <c r="S77"/>
    </row>
    <row r="78" spans="3:19" ht="23.1" customHeight="1" x14ac:dyDescent="0.25">
      <c r="C78" s="2"/>
      <c r="D78" s="2"/>
      <c r="R78"/>
      <c r="S78"/>
    </row>
    <row r="79" spans="3:19" ht="23.1" customHeight="1" x14ac:dyDescent="0.25">
      <c r="C79" s="2"/>
      <c r="D79" s="2"/>
      <c r="R79"/>
      <c r="S79"/>
    </row>
    <row r="80" spans="3:19" ht="23.1" customHeight="1" x14ac:dyDescent="0.25">
      <c r="C80" s="2"/>
      <c r="D80" s="2"/>
      <c r="R80"/>
      <c r="S80"/>
    </row>
    <row r="81" spans="3:19" ht="23.1" customHeight="1" x14ac:dyDescent="0.25">
      <c r="C81" s="2"/>
      <c r="D81" s="2"/>
      <c r="R81"/>
      <c r="S81"/>
    </row>
    <row r="82" spans="3:19" ht="23.1" customHeight="1" x14ac:dyDescent="0.25">
      <c r="C82" s="2"/>
      <c r="D82" s="2"/>
      <c r="R82"/>
      <c r="S82"/>
    </row>
    <row r="83" spans="3:19" ht="23.1" customHeight="1" x14ac:dyDescent="0.25">
      <c r="C83" s="2"/>
      <c r="D83" s="2"/>
      <c r="R83"/>
      <c r="S83"/>
    </row>
    <row r="84" spans="3:19" ht="23.1" customHeight="1" x14ac:dyDescent="0.25">
      <c r="C84" s="2"/>
      <c r="D84" s="2"/>
      <c r="R84"/>
      <c r="S84"/>
    </row>
    <row r="85" spans="3:19" ht="23.1" customHeight="1" x14ac:dyDescent="0.25">
      <c r="C85" s="2"/>
      <c r="D85" s="2"/>
      <c r="R85"/>
      <c r="S85"/>
    </row>
    <row r="86" spans="3:19" ht="23.1" customHeight="1" x14ac:dyDescent="0.25">
      <c r="C86" s="13"/>
      <c r="Q86" s="2"/>
      <c r="S86"/>
    </row>
    <row r="87" spans="3:19" ht="23.1" customHeight="1" x14ac:dyDescent="0.25">
      <c r="C87" s="13"/>
      <c r="Q87" s="2"/>
      <c r="S87"/>
    </row>
    <row r="88" spans="3:19" ht="23.1" customHeight="1" x14ac:dyDescent="0.25">
      <c r="C88" s="13"/>
    </row>
    <row r="89" spans="3:19" ht="23.1" customHeight="1" x14ac:dyDescent="0.25">
      <c r="C89" s="13"/>
    </row>
    <row r="90" spans="3:19" ht="23.1" customHeight="1" x14ac:dyDescent="0.25"/>
    <row r="91" spans="3:19" ht="23.1" customHeight="1" x14ac:dyDescent="0.25"/>
    <row r="92" spans="3:19" ht="23.1" customHeight="1" x14ac:dyDescent="0.25"/>
    <row r="93" spans="3:19" ht="23.1" customHeight="1" x14ac:dyDescent="0.25"/>
    <row r="94" spans="3:19" ht="23.1" customHeight="1" x14ac:dyDescent="0.25"/>
    <row r="95" spans="3:19" ht="23.1" customHeight="1" x14ac:dyDescent="0.25"/>
    <row r="96" spans="3:19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  <row r="129" ht="23.1" customHeight="1" x14ac:dyDescent="0.25"/>
    <row r="130" ht="23.1" customHeight="1" x14ac:dyDescent="0.25"/>
    <row r="131" ht="23.1" customHeight="1" x14ac:dyDescent="0.25"/>
    <row r="132" ht="23.1" customHeight="1" x14ac:dyDescent="0.25"/>
    <row r="133" ht="23.1" customHeight="1" x14ac:dyDescent="0.25"/>
    <row r="134" ht="23.1" customHeight="1" x14ac:dyDescent="0.25"/>
    <row r="135" ht="23.1" customHeight="1" x14ac:dyDescent="0.25"/>
    <row r="136" ht="23.1" customHeight="1" x14ac:dyDescent="0.25"/>
    <row r="137" ht="23.1" customHeight="1" x14ac:dyDescent="0.25"/>
    <row r="138" ht="23.1" customHeight="1" x14ac:dyDescent="0.25"/>
    <row r="139" ht="23.1" customHeight="1" x14ac:dyDescent="0.25"/>
    <row r="140" ht="23.1" customHeight="1" x14ac:dyDescent="0.25"/>
    <row r="141" ht="23.1" customHeight="1" x14ac:dyDescent="0.25"/>
    <row r="142" ht="23.1" customHeight="1" x14ac:dyDescent="0.25"/>
    <row r="143" ht="23.1" customHeight="1" x14ac:dyDescent="0.25"/>
    <row r="144" ht="23.1" customHeight="1" x14ac:dyDescent="0.25"/>
    <row r="145" ht="23.1" customHeight="1" x14ac:dyDescent="0.25"/>
    <row r="146" ht="23.1" customHeight="1" x14ac:dyDescent="0.25"/>
    <row r="147" ht="23.1" customHeight="1" x14ac:dyDescent="0.25"/>
    <row r="148" ht="23.1" customHeight="1" x14ac:dyDescent="0.25"/>
    <row r="149" ht="23.1" customHeight="1" x14ac:dyDescent="0.25"/>
    <row r="150" ht="23.1" customHeight="1" x14ac:dyDescent="0.25"/>
    <row r="151" ht="23.1" customHeight="1" x14ac:dyDescent="0.25"/>
  </sheetData>
  <mergeCells count="10">
    <mergeCell ref="B1:P1"/>
    <mergeCell ref="B2:P2"/>
    <mergeCell ref="D5:E5"/>
    <mergeCell ref="G5:H5"/>
    <mergeCell ref="K5:L5"/>
    <mergeCell ref="D6:E6"/>
    <mergeCell ref="G6:H6"/>
    <mergeCell ref="K6:L6"/>
    <mergeCell ref="C8:P8"/>
    <mergeCell ref="C3:F3"/>
  </mergeCells>
  <pageMargins left="0" right="0" top="0" bottom="0" header="0.15748031496062992" footer="0.11811023622047245"/>
  <pageSetup paperSize="9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20-26-HOIMA RBT-BWAISE RBT</vt:lpstr>
      <vt:lpstr>20-26-BWAISE RBT-HOIMA RBT</vt:lpstr>
      <vt:lpstr>20-26-BWAISE -HOIMA RBT 2DIR</vt:lpstr>
      <vt:lpstr>'20-26-BWAISE -HOIMA RBT 2DIR'!Print_Area</vt:lpstr>
      <vt:lpstr>'20-26-BWAISE RBT-HOIMA RBT'!Print_Area</vt:lpstr>
      <vt:lpstr>'20-26-HOIMA RBT-BWAISE RBT'!Print_Area</vt:lpstr>
      <vt:lpstr>'20-26-BWAISE -HOIMA RBT 2DIR'!Print_Titles</vt:lpstr>
      <vt:lpstr>'20-26-BWAISE RBT-HOIMA RBT'!Print_Titles</vt:lpstr>
      <vt:lpstr>'20-26-HOIMA RBT-BWAISE RBT'!Print_Titles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MR.O</dc:creator>
  <cp:lastModifiedBy>USER</cp:lastModifiedBy>
  <cp:lastPrinted>2020-03-24T09:53:11Z</cp:lastPrinted>
  <dcterms:created xsi:type="dcterms:W3CDTF">2020-02-14T20:49:42Z</dcterms:created>
  <dcterms:modified xsi:type="dcterms:W3CDTF">2020-03-24T10:24:37Z</dcterms:modified>
</cp:coreProperties>
</file>