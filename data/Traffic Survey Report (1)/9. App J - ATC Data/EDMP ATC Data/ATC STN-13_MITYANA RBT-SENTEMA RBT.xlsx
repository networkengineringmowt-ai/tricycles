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ing Folder\EDMP\Analysed Data\New 170320\ATC\"/>
    </mc:Choice>
  </mc:AlternateContent>
  <xr:revisionPtr revIDLastSave="0" documentId="13_ncr:1_{FA8C4971-4B51-498F-96DE-86BC73017E91}" xr6:coauthVersionLast="45" xr6:coauthVersionMax="45" xr10:uidLastSave="{00000000-0000-0000-0000-000000000000}"/>
  <bookViews>
    <workbookView xWindow="-120" yWindow="-120" windowWidth="20730" windowHeight="11160" firstSheet="1" activeTab="2" xr2:uid="{00000000-000D-0000-FFFF-FFFF00000000}"/>
  </bookViews>
  <sheets>
    <sheet name="21.01 MITYANA RBT-SENTEMA RBT" sheetId="1" r:id="rId1"/>
    <sheet name="21.01 SENTEMA RBT-MITYAN RBT" sheetId="2" r:id="rId2"/>
    <sheet name="21.01 SENTEMA-MITYANA 2DIR" sheetId="3" r:id="rId3"/>
  </sheets>
  <externalReferences>
    <externalReference r:id="rId4"/>
  </externalReferences>
  <definedNames>
    <definedName name="_xlnm.Print_Area" localSheetId="0">'21.01 MITYANA RBT-SENTEMA RBT'!$A$1:$W$58</definedName>
    <definedName name="_xlnm.Print_Area" localSheetId="1">'21.01 SENTEMA RBT-MITYAN RBT'!$A$1:$W$58</definedName>
    <definedName name="_xlnm.Print_Area" localSheetId="2">'21.01 SENTEMA-MITYANA 2DIR'!$A$1:$W$53</definedName>
    <definedName name="_xlnm.Print_Titles" localSheetId="0">'21.01 MITYANA RBT-SENTEMA RBT'!$1:$8</definedName>
    <definedName name="_xlnm.Print_Titles" localSheetId="1">'21.01 SENTEMA RBT-MITYAN RBT'!$1:$8</definedName>
    <definedName name="_xlnm.Print_Titles" localSheetId="2">'21.01 SENTEMA-MITYANA 2DIR'!$1:$8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C14" i="3" l="1"/>
  <c r="AC15" i="3"/>
  <c r="AC16" i="3"/>
  <c r="AB16" i="3"/>
  <c r="AB15" i="3"/>
  <c r="AB14" i="3"/>
  <c r="AC13" i="3"/>
  <c r="AB13" i="3"/>
  <c r="D11" i="2" l="1"/>
  <c r="E11" i="2"/>
  <c r="F11" i="2"/>
  <c r="G11" i="2"/>
  <c r="H11" i="2"/>
  <c r="I11" i="2"/>
  <c r="J11" i="2"/>
  <c r="K11" i="2"/>
  <c r="L11" i="2"/>
  <c r="M11" i="2"/>
  <c r="N11" i="2"/>
  <c r="D12" i="2"/>
  <c r="E12" i="2"/>
  <c r="F12" i="2"/>
  <c r="G12" i="2"/>
  <c r="H12" i="2"/>
  <c r="I12" i="2"/>
  <c r="J12" i="2"/>
  <c r="K12" i="2"/>
  <c r="L12" i="2"/>
  <c r="M12" i="2"/>
  <c r="N12" i="2"/>
  <c r="D13" i="2"/>
  <c r="E13" i="2"/>
  <c r="F13" i="2"/>
  <c r="G13" i="2"/>
  <c r="H13" i="2"/>
  <c r="I13" i="2"/>
  <c r="J13" i="2"/>
  <c r="K13" i="2"/>
  <c r="L13" i="2"/>
  <c r="M13" i="2"/>
  <c r="N13" i="2"/>
  <c r="D14" i="2"/>
  <c r="E14" i="2"/>
  <c r="F14" i="2"/>
  <c r="G14" i="2"/>
  <c r="H14" i="2"/>
  <c r="I14" i="2"/>
  <c r="J14" i="2"/>
  <c r="K14" i="2"/>
  <c r="L14" i="2"/>
  <c r="M14" i="2"/>
  <c r="N14" i="2"/>
  <c r="D15" i="2"/>
  <c r="E15" i="2"/>
  <c r="F15" i="2"/>
  <c r="G15" i="2"/>
  <c r="H15" i="2"/>
  <c r="I15" i="2"/>
  <c r="J15" i="2"/>
  <c r="K15" i="2"/>
  <c r="L15" i="2"/>
  <c r="M15" i="2"/>
  <c r="N15" i="2"/>
  <c r="D16" i="2"/>
  <c r="E16" i="2"/>
  <c r="F16" i="2"/>
  <c r="G16" i="2"/>
  <c r="H16" i="2"/>
  <c r="I16" i="2"/>
  <c r="J16" i="2"/>
  <c r="K16" i="2"/>
  <c r="L16" i="2"/>
  <c r="M16" i="2"/>
  <c r="N16" i="2"/>
  <c r="E10" i="2"/>
  <c r="F10" i="2"/>
  <c r="G10" i="2"/>
  <c r="H10" i="2"/>
  <c r="I10" i="2"/>
  <c r="J10" i="2"/>
  <c r="K10" i="2"/>
  <c r="L10" i="2"/>
  <c r="M10" i="2"/>
  <c r="N10" i="2"/>
  <c r="D10" i="2"/>
  <c r="D11" i="1"/>
  <c r="E11" i="1"/>
  <c r="F11" i="1"/>
  <c r="G11" i="1"/>
  <c r="H11" i="1"/>
  <c r="I11" i="1"/>
  <c r="J11" i="1"/>
  <c r="K11" i="1"/>
  <c r="L11" i="1"/>
  <c r="M11" i="1"/>
  <c r="N11" i="1"/>
  <c r="D12" i="1"/>
  <c r="E12" i="1"/>
  <c r="F12" i="1"/>
  <c r="G12" i="1"/>
  <c r="H12" i="1"/>
  <c r="I12" i="1"/>
  <c r="J12" i="1"/>
  <c r="K12" i="1"/>
  <c r="L12" i="1"/>
  <c r="M12" i="1"/>
  <c r="N12" i="1"/>
  <c r="D13" i="1"/>
  <c r="E13" i="1"/>
  <c r="F13" i="1"/>
  <c r="G13" i="1"/>
  <c r="H13" i="1"/>
  <c r="I13" i="1"/>
  <c r="J13" i="1"/>
  <c r="K13" i="1"/>
  <c r="L13" i="1"/>
  <c r="M13" i="1"/>
  <c r="N13" i="1"/>
  <c r="D14" i="1"/>
  <c r="E14" i="1"/>
  <c r="F14" i="1"/>
  <c r="G14" i="1"/>
  <c r="H14" i="1"/>
  <c r="I14" i="1"/>
  <c r="J14" i="1"/>
  <c r="K14" i="1"/>
  <c r="L14" i="1"/>
  <c r="M14" i="1"/>
  <c r="N14" i="1"/>
  <c r="D15" i="1"/>
  <c r="E15" i="1"/>
  <c r="F15" i="1"/>
  <c r="G15" i="1"/>
  <c r="H15" i="1"/>
  <c r="I15" i="1"/>
  <c r="J15" i="1"/>
  <c r="K15" i="1"/>
  <c r="L15" i="1"/>
  <c r="M15" i="1"/>
  <c r="N15" i="1"/>
  <c r="D16" i="1"/>
  <c r="E16" i="1"/>
  <c r="F16" i="1"/>
  <c r="G16" i="1"/>
  <c r="H16" i="1"/>
  <c r="I16" i="1"/>
  <c r="J16" i="1"/>
  <c r="K16" i="1"/>
  <c r="L16" i="1"/>
  <c r="M16" i="1"/>
  <c r="N16" i="1"/>
  <c r="E10" i="1"/>
  <c r="F10" i="1"/>
  <c r="G10" i="1"/>
  <c r="H10" i="1"/>
  <c r="I10" i="1"/>
  <c r="J10" i="1"/>
  <c r="K10" i="1"/>
  <c r="L10" i="1"/>
  <c r="M10" i="1"/>
  <c r="N10" i="1"/>
  <c r="D10" i="1"/>
  <c r="C11" i="3" l="1"/>
  <c r="D11" i="3"/>
  <c r="E11" i="3"/>
  <c r="F11" i="3"/>
  <c r="G11" i="3"/>
  <c r="H11" i="3"/>
  <c r="I11" i="3"/>
  <c r="J11" i="3"/>
  <c r="K11" i="3"/>
  <c r="L11" i="3"/>
  <c r="M11" i="3"/>
  <c r="N11" i="3"/>
  <c r="C12" i="3"/>
  <c r="D12" i="3"/>
  <c r="E12" i="3"/>
  <c r="F12" i="3"/>
  <c r="G12" i="3"/>
  <c r="H12" i="3"/>
  <c r="I12" i="3"/>
  <c r="J12" i="3"/>
  <c r="K12" i="3"/>
  <c r="L12" i="3"/>
  <c r="M12" i="3"/>
  <c r="N12" i="3"/>
  <c r="C13" i="3"/>
  <c r="D13" i="3"/>
  <c r="E13" i="3"/>
  <c r="F13" i="3"/>
  <c r="G13" i="3"/>
  <c r="H13" i="3"/>
  <c r="I13" i="3"/>
  <c r="J13" i="3"/>
  <c r="K13" i="3"/>
  <c r="L13" i="3"/>
  <c r="M13" i="3"/>
  <c r="N13" i="3"/>
  <c r="C14" i="3"/>
  <c r="D14" i="3"/>
  <c r="E14" i="3"/>
  <c r="F14" i="3"/>
  <c r="G14" i="3"/>
  <c r="H14" i="3"/>
  <c r="I14" i="3"/>
  <c r="J14" i="3"/>
  <c r="K14" i="3"/>
  <c r="L14" i="3"/>
  <c r="M14" i="3"/>
  <c r="N14" i="3"/>
  <c r="C15" i="3"/>
  <c r="D15" i="3"/>
  <c r="E15" i="3"/>
  <c r="F15" i="3"/>
  <c r="G15" i="3"/>
  <c r="H15" i="3"/>
  <c r="I15" i="3"/>
  <c r="J15" i="3"/>
  <c r="K15" i="3"/>
  <c r="L15" i="3"/>
  <c r="M15" i="3"/>
  <c r="N15" i="3"/>
  <c r="C16" i="3"/>
  <c r="D16" i="3"/>
  <c r="E16" i="3"/>
  <c r="F16" i="3"/>
  <c r="G16" i="3"/>
  <c r="H16" i="3"/>
  <c r="I16" i="3"/>
  <c r="J16" i="3"/>
  <c r="K16" i="3"/>
  <c r="L16" i="3"/>
  <c r="M16" i="3"/>
  <c r="N16" i="3"/>
  <c r="E10" i="3"/>
  <c r="F10" i="3"/>
  <c r="F17" i="3" s="1"/>
  <c r="G10" i="3"/>
  <c r="G17" i="3" s="1"/>
  <c r="H10" i="3"/>
  <c r="I10" i="3"/>
  <c r="J10" i="3"/>
  <c r="K10" i="3"/>
  <c r="L10" i="3"/>
  <c r="M10" i="3"/>
  <c r="N10" i="3"/>
  <c r="N17" i="3" s="1"/>
  <c r="C10" i="3"/>
  <c r="C17" i="3" s="1"/>
  <c r="J17" i="3"/>
  <c r="O11" i="3" l="1"/>
  <c r="P14" i="3"/>
  <c r="P12" i="3"/>
  <c r="I17" i="3"/>
  <c r="O15" i="3"/>
  <c r="O13" i="3"/>
  <c r="P16" i="3"/>
  <c r="H17" i="3"/>
  <c r="K17" i="3"/>
  <c r="O12" i="3"/>
  <c r="O16" i="3"/>
  <c r="M17" i="3"/>
  <c r="P15" i="3"/>
  <c r="P13" i="3"/>
  <c r="L17" i="3"/>
  <c r="P11" i="3"/>
  <c r="O14" i="3"/>
  <c r="E17" i="3"/>
  <c r="N17" i="2"/>
  <c r="M17" i="2"/>
  <c r="L17" i="2"/>
  <c r="K17" i="2"/>
  <c r="J17" i="2"/>
  <c r="I17" i="2"/>
  <c r="H17" i="2"/>
  <c r="G17" i="2"/>
  <c r="F17" i="2"/>
  <c r="E17" i="2"/>
  <c r="D17" i="2"/>
  <c r="C17" i="2"/>
  <c r="P16" i="2"/>
  <c r="P15" i="2"/>
  <c r="P14" i="2"/>
  <c r="P13" i="2"/>
  <c r="P12" i="2"/>
  <c r="P11" i="2"/>
  <c r="P10" i="2"/>
  <c r="P11" i="1"/>
  <c r="P12" i="1"/>
  <c r="P13" i="1"/>
  <c r="P14" i="1"/>
  <c r="P15" i="1"/>
  <c r="P16" i="1"/>
  <c r="E17" i="1"/>
  <c r="F17" i="1"/>
  <c r="G17" i="1"/>
  <c r="H17" i="1"/>
  <c r="I17" i="1"/>
  <c r="J17" i="1"/>
  <c r="K17" i="1"/>
  <c r="L17" i="1"/>
  <c r="M17" i="1"/>
  <c r="N17" i="1"/>
  <c r="C17" i="1"/>
  <c r="P17" i="2" l="1"/>
  <c r="N18" i="2" s="1"/>
  <c r="O17" i="2"/>
  <c r="L19" i="2" s="1"/>
  <c r="M18" i="2" l="1"/>
  <c r="H19" i="2"/>
  <c r="N19" i="2"/>
  <c r="E18" i="2"/>
  <c r="H18" i="2"/>
  <c r="C18" i="2"/>
  <c r="F18" i="2"/>
  <c r="L18" i="2"/>
  <c r="K19" i="2"/>
  <c r="K18" i="2"/>
  <c r="I18" i="2"/>
  <c r="D18" i="2"/>
  <c r="J18" i="2"/>
  <c r="I19" i="2"/>
  <c r="M19" i="2"/>
  <c r="F19" i="2"/>
  <c r="D19" i="2"/>
  <c r="G19" i="2"/>
  <c r="J19" i="2"/>
  <c r="E19" i="2"/>
  <c r="G18" i="2"/>
  <c r="I19" i="1" l="1"/>
  <c r="J19" i="1"/>
  <c r="L19" i="1"/>
  <c r="H19" i="1"/>
  <c r="G19" i="1"/>
  <c r="M19" i="1"/>
  <c r="K19" i="1"/>
  <c r="N19" i="1"/>
  <c r="F19" i="1"/>
  <c r="E19" i="1"/>
  <c r="D10" i="3"/>
  <c r="P10" i="3" s="1"/>
  <c r="D17" i="1"/>
  <c r="D19" i="1" l="1"/>
  <c r="P17" i="3"/>
  <c r="P10" i="1"/>
  <c r="D17" i="3"/>
  <c r="O10" i="3"/>
  <c r="P17" i="1" l="1"/>
  <c r="O17" i="3"/>
  <c r="D18" i="3"/>
  <c r="N18" i="3"/>
  <c r="M18" i="3"/>
  <c r="J18" i="3"/>
  <c r="H18" i="3"/>
  <c r="I18" i="3"/>
  <c r="F18" i="3"/>
  <c r="E18" i="3"/>
  <c r="L18" i="3"/>
  <c r="G18" i="3"/>
  <c r="K18" i="3"/>
  <c r="C18" i="3"/>
  <c r="K19" i="3" l="1"/>
  <c r="M19" i="3"/>
  <c r="I19" i="3"/>
  <c r="J19" i="3"/>
  <c r="F19" i="3"/>
  <c r="E19" i="3"/>
  <c r="N19" i="3"/>
  <c r="H19" i="3"/>
  <c r="L19" i="3"/>
  <c r="G19" i="3"/>
  <c r="D19" i="3"/>
  <c r="M18" i="1"/>
  <c r="G18" i="1"/>
  <c r="C18" i="1"/>
  <c r="F18" i="1"/>
  <c r="H18" i="1"/>
  <c r="J18" i="1"/>
  <c r="K18" i="1"/>
  <c r="L18" i="1"/>
  <c r="N18" i="1"/>
  <c r="I18" i="1"/>
  <c r="E18" i="1"/>
  <c r="D18" i="1"/>
</calcChain>
</file>

<file path=xl/sharedStrings.xml><?xml version="1.0" encoding="utf-8"?>
<sst xmlns="http://schemas.openxmlformats.org/spreadsheetml/2006/main" count="123" uniqueCount="45">
  <si>
    <t>Consultancy services for Preparation of Expressway Development Master Plan (EDMP) for Uganda</t>
  </si>
  <si>
    <t>ROAD NAME:</t>
  </si>
  <si>
    <t>Date</t>
  </si>
  <si>
    <t xml:space="preserve">  Location</t>
  </si>
  <si>
    <t>Surveyor</t>
  </si>
  <si>
    <t>Dir. From</t>
  </si>
  <si>
    <t xml:space="preserve">  Dir. To</t>
  </si>
  <si>
    <t>Supervisor</t>
  </si>
  <si>
    <t>Time / Veh Type</t>
  </si>
  <si>
    <t>SUMMARY TRAFFIC VOLUMES</t>
  </si>
  <si>
    <t>Total Excl M/ Cycles</t>
  </si>
  <si>
    <t>%ges + MCs</t>
  </si>
  <si>
    <t>%ges w/o MCs</t>
  </si>
  <si>
    <t>21.01.2020</t>
  </si>
  <si>
    <t>IVAN</t>
  </si>
  <si>
    <t>ATC</t>
  </si>
  <si>
    <t>MITYANA RBT</t>
  </si>
  <si>
    <t>SENTEMA RBT</t>
  </si>
  <si>
    <t>1.Motorcycles</t>
  </si>
  <si>
    <t>Mon</t>
  </si>
  <si>
    <t>THU</t>
  </si>
  <si>
    <t>FRI</t>
  </si>
  <si>
    <t>SAT</t>
  </si>
  <si>
    <t>TUE</t>
  </si>
  <si>
    <t>WED</t>
  </si>
  <si>
    <t>SUN</t>
  </si>
  <si>
    <t>Average daily volume</t>
  </si>
  <si>
    <t xml:space="preserve"> Total All</t>
  </si>
  <si>
    <t>AUTOMATIC TRAFFIC COUNT (ATC)</t>
  </si>
  <si>
    <t xml:space="preserve">ATC - STN13-NORTHERN BYPASS RD </t>
  </si>
  <si>
    <t>WEEKLY TRAFFIC VOLUMES</t>
  </si>
  <si>
    <t>ATC BOTH DIRECTIONS</t>
  </si>
  <si>
    <t>ISACA MUYINZA</t>
  </si>
  <si>
    <t>1. Car</t>
  </si>
  <si>
    <t>2. Station Wagon</t>
  </si>
  <si>
    <t>3. Pickups</t>
  </si>
  <si>
    <t>4. Minibus, matatu</t>
  </si>
  <si>
    <t xml:space="preserve">5. Medium bus </t>
  </si>
  <si>
    <t>6. Large Bus</t>
  </si>
  <si>
    <t xml:space="preserve">7. Light Truck </t>
  </si>
  <si>
    <t xml:space="preserve">8. Medium Truck </t>
  </si>
  <si>
    <t xml:space="preserve">9. Heavy truck </t>
  </si>
  <si>
    <t xml:space="preserve">10. Truck Trailer </t>
  </si>
  <si>
    <t>12. Tractors</t>
  </si>
  <si>
    <t>4. Minibus matatu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</si>
</sst>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0.0%"/>
    <numFmt numFmtId="165" formatCode="0.0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1"/>
      <color theme="1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indexed="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Arial"/>
      <family val="2"/>
    </font>
    <font>
      <sz val="8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b/>
      <sz val="10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41">
    <xf numFmtId="0" fontId="0" fillId="0" borderId="0" xfId="0"/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7" fillId="0" borderId="0" xfId="0" applyFont="1"/>
    <xf numFmtId="0" fontId="0" fillId="0" borderId="4" xfId="0" applyBorder="1"/>
    <xf numFmtId="0" fontId="10" fillId="2" borderId="1" xfId="0" applyFont="1" applyFill="1" applyBorder="1" applyAlignment="1">
      <alignment horizontal="center" vertical="center" wrapText="1"/>
    </xf>
    <xf numFmtId="1" fontId="0" fillId="0" borderId="4" xfId="0" applyNumberFormat="1" applyBorder="1" applyAlignment="1">
      <alignment horizontal="center"/>
    </xf>
    <xf numFmtId="1" fontId="0" fillId="2" borderId="4" xfId="0" applyNumberFormat="1" applyFill="1" applyBorder="1" applyAlignment="1">
      <alignment horizontal="center"/>
    </xf>
    <xf numFmtId="9" fontId="0" fillId="0" borderId="0" xfId="1" applyFont="1"/>
    <xf numFmtId="1" fontId="2" fillId="0" borderId="6" xfId="0" applyNumberFormat="1" applyFont="1" applyBorder="1" applyAlignment="1">
      <alignment horizontal="center"/>
    </xf>
    <xf numFmtId="1" fontId="2" fillId="2" borderId="4" xfId="0" applyNumberFormat="1" applyFont="1" applyFill="1" applyBorder="1" applyAlignment="1">
      <alignment horizontal="center"/>
    </xf>
    <xf numFmtId="164" fontId="0" fillId="0" borderId="0" xfId="0" applyNumberFormat="1"/>
    <xf numFmtId="0" fontId="9" fillId="0" borderId="4" xfId="0" applyFont="1" applyBorder="1" applyAlignment="1">
      <alignment horizontal="center" vertical="center" wrapText="1"/>
    </xf>
    <xf numFmtId="0" fontId="5" fillId="0" borderId="0" xfId="0" applyFont="1" applyBorder="1" applyAlignment="1"/>
    <xf numFmtId="0" fontId="9" fillId="0" borderId="4" xfId="0" applyFont="1" applyBorder="1" applyAlignment="1">
      <alignment horizontal="left" vertical="center" wrapText="1"/>
    </xf>
    <xf numFmtId="9" fontId="2" fillId="0" borderId="4" xfId="1" applyFont="1" applyBorder="1" applyAlignment="1">
      <alignment horizontal="center"/>
    </xf>
    <xf numFmtId="0" fontId="6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horizontal="center" vertical="center"/>
    </xf>
    <xf numFmtId="0" fontId="3" fillId="0" borderId="0" xfId="0" applyFont="1" applyAlignment="1"/>
    <xf numFmtId="0" fontId="4" fillId="0" borderId="0" xfId="0" applyFont="1" applyAlignment="1"/>
    <xf numFmtId="1" fontId="0" fillId="0" borderId="4" xfId="0" applyNumberFormat="1" applyBorder="1" applyAlignment="1">
      <alignment horizontal="right"/>
    </xf>
    <xf numFmtId="41" fontId="2" fillId="2" borderId="4" xfId="2" applyFont="1" applyFill="1" applyBorder="1" applyAlignment="1">
      <alignment horizontal="center"/>
    </xf>
    <xf numFmtId="0" fontId="2" fillId="0" borderId="4" xfId="0" applyFont="1" applyBorder="1" applyAlignment="1">
      <alignment horizontal="center" vertical="center" wrapText="1"/>
    </xf>
    <xf numFmtId="164" fontId="13" fillId="0" borderId="0" xfId="1" applyNumberFormat="1" applyFont="1" applyAlignment="1">
      <alignment horizontal="center"/>
    </xf>
    <xf numFmtId="164" fontId="13" fillId="0" borderId="0" xfId="1" applyNumberFormat="1" applyFont="1"/>
    <xf numFmtId="0" fontId="0" fillId="0" borderId="4" xfId="0" applyBorder="1" applyAlignment="1">
      <alignment horizontal="center"/>
    </xf>
    <xf numFmtId="41" fontId="0" fillId="0" borderId="4" xfId="2" applyFont="1" applyBorder="1" applyAlignment="1">
      <alignment horizontal="center"/>
    </xf>
    <xf numFmtId="0" fontId="14" fillId="0" borderId="4" xfId="0" applyFont="1" applyBorder="1" applyAlignment="1">
      <alignment horizontal="left" vertical="center" wrapText="1"/>
    </xf>
    <xf numFmtId="1" fontId="0" fillId="0" borderId="0" xfId="0" applyNumberFormat="1"/>
    <xf numFmtId="165" fontId="0" fillId="0" borderId="0" xfId="0" applyNumberForma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8" fillId="0" borderId="5" xfId="0" applyFont="1" applyBorder="1" applyAlignment="1">
      <alignment horizontal="center"/>
    </xf>
    <xf numFmtId="0" fontId="0" fillId="0" borderId="4" xfId="0" applyBorder="1" applyAlignment="1">
      <alignment horizontal="left"/>
    </xf>
    <xf numFmtId="0" fontId="5" fillId="0" borderId="4" xfId="0" applyFont="1" applyBorder="1" applyAlignment="1">
      <alignment horizontal="center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</cellXfs>
  <cellStyles count="3">
    <cellStyle name="Comma [0]" xfId="2" builtinId="6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Weekly Traffic Variation </a:t>
            </a:r>
          </a:p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'21.01 MITYANA RBT-SENTEMA RBT'!$O$9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'21.01 MITYANA RBT-SENTEMA RBT'!$B$10:$B$16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'21.01 MITYANA RBT-SENTEMA RBT'!$O$10:$O$16</c:f>
              <c:numCache>
                <c:formatCode>0</c:formatCode>
                <c:ptCount val="7"/>
                <c:pt idx="0">
                  <c:v>16859</c:v>
                </c:pt>
                <c:pt idx="1">
                  <c:v>17206</c:v>
                </c:pt>
                <c:pt idx="2">
                  <c:v>15790</c:v>
                </c:pt>
                <c:pt idx="3">
                  <c:v>15966</c:v>
                </c:pt>
                <c:pt idx="4">
                  <c:v>17315</c:v>
                </c:pt>
                <c:pt idx="5">
                  <c:v>17894</c:v>
                </c:pt>
                <c:pt idx="6">
                  <c:v>17955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F32-4FEA-9337-4E2FD7646512}"/>
            </c:ext>
          </c:extLst>
        </c:ser>
        <c:ser>
          <c:idx val="1"/>
          <c:order val="1"/>
          <c:tx>
            <c:strRef>
              <c:f>'21.01 MITYANA RBT-SENTEMA RBT'!$P$9</c:f>
              <c:strCache>
                <c:ptCount val="1"/>
                <c:pt idx="0">
                  <c:v> 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'21.01 MITYANA RBT-SENTEMA RBT'!$B$10:$B$16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'21.01 MITYANA RBT-SENTEMA RBT'!$P$10:$P$16</c:f>
              <c:numCache>
                <c:formatCode>0</c:formatCode>
                <c:ptCount val="7"/>
                <c:pt idx="0">
                  <c:v>25689.999999999989</c:v>
                </c:pt>
                <c:pt idx="1">
                  <c:v>23539.999999999993</c:v>
                </c:pt>
                <c:pt idx="2">
                  <c:v>24033.999999999989</c:v>
                </c:pt>
                <c:pt idx="3">
                  <c:v>24173.999999999996</c:v>
                </c:pt>
                <c:pt idx="4">
                  <c:v>25904.999999999996</c:v>
                </c:pt>
                <c:pt idx="5">
                  <c:v>26656.999999999993</c:v>
                </c:pt>
                <c:pt idx="6">
                  <c:v>26916.999999999996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F32-4FEA-9337-4E2FD76465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2091792"/>
        <c:axId val="802094512"/>
      </c:lineChart>
      <c:catAx>
        <c:axId val="80209179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02094512"/>
        <c:crosses val="autoZero"/>
        <c:auto val="1"/>
        <c:lblAlgn val="ctr"/>
        <c:lblOffset val="100"/>
        <c:noMultiLvlLbl val="0"/>
      </c:catAx>
      <c:valAx>
        <c:axId val="802094512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02091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Average Vehicle Proportions Including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66"/>
      <c:depthPercent val="100"/>
      <c:rAngAx val="0"/>
      <c:perspective val="1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7577465720024135E-2"/>
          <c:y val="8.013560502587487E-2"/>
          <c:w val="0.87655985254857882"/>
          <c:h val="0.80325343229815682"/>
        </c:manualLayout>
      </c:layout>
      <c:pie3DChart>
        <c:varyColors val="1"/>
        <c:ser>
          <c:idx val="0"/>
          <c:order val="0"/>
          <c:tx>
            <c:strRef>
              <c:f>'21.01 MITYANA RBT-SENTEMA RBT'!$C$18:$N$18</c:f>
              <c:strCache>
                <c:ptCount val="12"/>
                <c:pt idx="0">
                  <c:v>33%</c:v>
                </c:pt>
                <c:pt idx="1">
                  <c:v>31%</c:v>
                </c:pt>
                <c:pt idx="2">
                  <c:v>5%</c:v>
                </c:pt>
                <c:pt idx="3">
                  <c:v>4%</c:v>
                </c:pt>
                <c:pt idx="4">
                  <c:v>13%</c:v>
                </c:pt>
                <c:pt idx="5">
                  <c:v>1%</c:v>
                </c:pt>
                <c:pt idx="6">
                  <c:v>0%</c:v>
                </c:pt>
                <c:pt idx="7">
                  <c:v>5%</c:v>
                </c:pt>
                <c:pt idx="8">
                  <c:v>4%</c:v>
                </c:pt>
                <c:pt idx="9">
                  <c:v>2%</c:v>
                </c:pt>
                <c:pt idx="10">
                  <c:v>2%</c:v>
                </c:pt>
                <c:pt idx="11">
                  <c:v>0%</c:v>
                </c:pt>
              </c:strCache>
            </c:strRef>
          </c:tx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458-40FA-AC31-D48FDE46438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458-40FA-AC31-D48FDE46438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458-40FA-AC31-D48FDE46438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458-40FA-AC31-D48FDE46438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458-40FA-AC31-D48FDE46438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458-40FA-AC31-D48FDE46438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458-40FA-AC31-D48FDE46438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458-40FA-AC31-D48FDE46438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458-40FA-AC31-D48FDE46438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458-40FA-AC31-D48FDE46438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458-40FA-AC31-D48FDE46438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458-40FA-AC31-D48FDE464387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458-40FA-AC31-D48FDE46438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'21.01 MITYANA RBT-SENTEMA RBT'!$C$9:$N$9</c:f>
              <c:strCache>
                <c:ptCount val="12"/>
                <c:pt idx="0">
                  <c:v>1.Motorcycles</c:v>
                </c:pt>
                <c:pt idx="1">
                  <c:v>1. Car</c:v>
                </c:pt>
                <c:pt idx="2">
                  <c:v>2. Station Wagon</c:v>
                </c:pt>
                <c:pt idx="3">
                  <c:v>3. Pickups</c:v>
                </c:pt>
                <c:pt idx="4">
                  <c:v>4. Minibus, matatu</c:v>
                </c:pt>
                <c:pt idx="5">
                  <c:v>5. Medium bus </c:v>
                </c:pt>
                <c:pt idx="6">
                  <c:v>6. Large Bus</c:v>
                </c:pt>
                <c:pt idx="7">
                  <c:v>7. Light Truck </c:v>
                </c:pt>
                <c:pt idx="8">
                  <c:v>8. Medium Truck </c:v>
                </c:pt>
                <c:pt idx="9">
                  <c:v>9. Heavy truck </c:v>
                </c:pt>
                <c:pt idx="10">
                  <c:v>10. Truck Trailer </c:v>
                </c:pt>
                <c:pt idx="11">
                  <c:v>12. Tractors</c:v>
                </c:pt>
              </c:strCache>
            </c:strRef>
          </c:cat>
          <c:val>
            <c:numRef>
              <c:f>'[1]Avg Week Munyonyo-Kibuye-2Dir'!$C$107:$N$107</c:f>
              <c:numCache>
                <c:formatCode>General</c:formatCode>
                <c:ptCount val="12"/>
                <c:pt idx="0">
                  <c:v>0.12930183209716614</c:v>
                </c:pt>
                <c:pt idx="1">
                  <c:v>4.7988984766631639E-2</c:v>
                </c:pt>
                <c:pt idx="2">
                  <c:v>1.3401469889907276E-2</c:v>
                </c:pt>
                <c:pt idx="3">
                  <c:v>0.15237739492909838</c:v>
                </c:pt>
                <c:pt idx="4">
                  <c:v>1.6530797551375614E-3</c:v>
                </c:pt>
                <c:pt idx="5">
                  <c:v>3.3379495055662294E-4</c:v>
                </c:pt>
                <c:pt idx="6">
                  <c:v>1.1366910191276423E-2</c:v>
                </c:pt>
                <c:pt idx="7">
                  <c:v>2.1160215615643068E-3</c:v>
                </c:pt>
                <c:pt idx="8">
                  <c:v>1.8398459774728146E-3</c:v>
                </c:pt>
                <c:pt idx="9">
                  <c:v>1.4106810410428709E-4</c:v>
                </c:pt>
                <c:pt idx="10">
                  <c:v>0.63936435904415434</c:v>
                </c:pt>
                <c:pt idx="11">
                  <c:v>1.1523873293026267E-4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458-40FA-AC31-D48FDE4643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 sz="1100"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Average Vehicle Proportions Excluding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5621349354452078E-2"/>
          <c:y val="0.20025731425750379"/>
          <c:w val="0.83261086583830202"/>
          <c:h val="0.76871916342946045"/>
        </c:manualLayout>
      </c:layout>
      <c:pie3DChart>
        <c:varyColors val="1"/>
        <c:ser>
          <c:idx val="0"/>
          <c:order val="0"/>
          <c:tx>
            <c:strRef>
              <c:f>'21.01 MITYANA RBT-SENTEMA RBT'!$D$19:$N$19</c:f>
              <c:strCache>
                <c:ptCount val="11"/>
                <c:pt idx="0">
                  <c:v>46%</c:v>
                </c:pt>
                <c:pt idx="1">
                  <c:v>7%</c:v>
                </c:pt>
                <c:pt idx="2">
                  <c:v>7%</c:v>
                </c:pt>
                <c:pt idx="3">
                  <c:v>19%</c:v>
                </c:pt>
                <c:pt idx="4">
                  <c:v>1%</c:v>
                </c:pt>
                <c:pt idx="5">
                  <c:v>0%</c:v>
                </c:pt>
                <c:pt idx="6">
                  <c:v>7%</c:v>
                </c:pt>
                <c:pt idx="7">
                  <c:v>6%</c:v>
                </c:pt>
                <c:pt idx="8">
                  <c:v>3%</c:v>
                </c:pt>
                <c:pt idx="9">
                  <c:v>3%</c:v>
                </c:pt>
                <c:pt idx="10">
                  <c:v>0%</c:v>
                </c:pt>
              </c:strCache>
            </c:strRef>
          </c:tx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5EE-4E36-A14A-A997E962A16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5EE-4E36-A14A-A997E962A16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5EE-4E36-A14A-A997E962A16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5EE-4E36-A14A-A997E962A16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5EE-4E36-A14A-A997E962A16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5EE-4E36-A14A-A997E962A16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5EE-4E36-A14A-A997E962A16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5EE-4E36-A14A-A997E962A16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5EE-4E36-A14A-A997E962A16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5EE-4E36-A14A-A997E962A16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5EE-4E36-A14A-A997E962A16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5EE-4E36-A14A-A997E962A16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5EE-4E36-A14A-A997E962A16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en-UG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'21.01 MITYANA RBT-SENTEMA RBT'!$C$9:$N$9</c:f>
              <c:strCache>
                <c:ptCount val="12"/>
                <c:pt idx="0">
                  <c:v>1.Motorcycles</c:v>
                </c:pt>
                <c:pt idx="1">
                  <c:v>1. Car</c:v>
                </c:pt>
                <c:pt idx="2">
                  <c:v>2. Station Wagon</c:v>
                </c:pt>
                <c:pt idx="3">
                  <c:v>3. Pickups</c:v>
                </c:pt>
                <c:pt idx="4">
                  <c:v>4. Minibus, matatu</c:v>
                </c:pt>
                <c:pt idx="5">
                  <c:v>5. Medium bus </c:v>
                </c:pt>
                <c:pt idx="6">
                  <c:v>6. Large Bus</c:v>
                </c:pt>
                <c:pt idx="7">
                  <c:v>7. Light Truck </c:v>
                </c:pt>
                <c:pt idx="8">
                  <c:v>8. Medium Truck </c:v>
                </c:pt>
                <c:pt idx="9">
                  <c:v>9. Heavy truck </c:v>
                </c:pt>
                <c:pt idx="10">
                  <c:v>10. Truck Trailer </c:v>
                </c:pt>
                <c:pt idx="11">
                  <c:v>12. Tractors</c:v>
                </c:pt>
              </c:strCache>
            </c:strRef>
          </c:cat>
          <c:val>
            <c:numRef>
              <c:f>'[1]Avg Week Munyonyo-Kibuye-2Dir'!$C$108:$N$108</c:f>
              <c:numCache>
                <c:formatCode>General</c:formatCode>
                <c:ptCount val="12"/>
                <c:pt idx="0">
                  <c:v>0.35853869505093411</c:v>
                </c:pt>
                <c:pt idx="1">
                  <c:v>0.13306778176288778</c:v>
                </c:pt>
                <c:pt idx="2">
                  <c:v>3.7160691756331646E-2</c:v>
                </c:pt>
                <c:pt idx="3">
                  <c:v>0.42252450291721066</c:v>
                </c:pt>
                <c:pt idx="4">
                  <c:v>4.5837947429604037E-3</c:v>
                </c:pt>
                <c:pt idx="5">
                  <c:v>9.2557393848238909E-4</c:v>
                </c:pt>
                <c:pt idx="6">
                  <c:v>3.1519098226534203E-2</c:v>
                </c:pt>
                <c:pt idx="7">
                  <c:v>5.8674776457365756E-3</c:v>
                </c:pt>
                <c:pt idx="8">
                  <c:v>5.1016753990160259E-3</c:v>
                </c:pt>
                <c:pt idx="9">
                  <c:v>3.9116517638243829E-4</c:v>
                </c:pt>
                <c:pt idx="10">
                  <c:v>3.9116502739489079E-4</c:v>
                </c:pt>
                <c:pt idx="11">
                  <c:v>3.1954338352368198E-4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5EE-4E36-A14A-A997E962A1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 sz="1100"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Weekly Traffic Variation </a:t>
            </a:r>
          </a:p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30571164873657"/>
          <c:y val="0.14189235127478753"/>
          <c:w val="0.74266939327419168"/>
          <c:h val="0.68825054092034532"/>
        </c:manualLayout>
      </c:layout>
      <c:lineChart>
        <c:grouping val="standard"/>
        <c:varyColors val="0"/>
        <c:ser>
          <c:idx val="0"/>
          <c:order val="0"/>
          <c:tx>
            <c:strRef>
              <c:f>'21.01 SENTEMA RBT-MITYAN RBT'!$O$9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'21.01 SENTEMA RBT-MITYAN RBT'!$B$10:$B$16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'21.01 SENTEMA RBT-MITYAN RBT'!$O$10:$O$16</c:f>
              <c:numCache>
                <c:formatCode>0</c:formatCode>
                <c:ptCount val="7"/>
                <c:pt idx="0">
                  <c:v>7680</c:v>
                </c:pt>
                <c:pt idx="1">
                  <c:v>16159</c:v>
                </c:pt>
                <c:pt idx="2">
                  <c:v>16695</c:v>
                </c:pt>
                <c:pt idx="3">
                  <c:v>16910</c:v>
                </c:pt>
                <c:pt idx="4">
                  <c:v>18778</c:v>
                </c:pt>
                <c:pt idx="5">
                  <c:v>19545</c:v>
                </c:pt>
                <c:pt idx="6">
                  <c:v>15957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47A-47D0-B109-A9114B7F6EA2}"/>
            </c:ext>
          </c:extLst>
        </c:ser>
        <c:ser>
          <c:idx val="1"/>
          <c:order val="1"/>
          <c:tx>
            <c:strRef>
              <c:f>'21.01 SENTEMA RBT-MITYAN RBT'!$P$9</c:f>
              <c:strCache>
                <c:ptCount val="1"/>
                <c:pt idx="0">
                  <c:v> 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'21.01 SENTEMA RBT-MITYAN RBT'!$B$10:$B$16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'21.01 SENTEMA RBT-MITYAN RBT'!$P$10:$P$16</c:f>
              <c:numCache>
                <c:formatCode>0</c:formatCode>
                <c:ptCount val="7"/>
                <c:pt idx="0">
                  <c:v>10368.999999999996</c:v>
                </c:pt>
                <c:pt idx="1">
                  <c:v>25119.999999999996</c:v>
                </c:pt>
                <c:pt idx="2">
                  <c:v>25703.999999999996</c:v>
                </c:pt>
                <c:pt idx="3">
                  <c:v>25932</c:v>
                </c:pt>
                <c:pt idx="4">
                  <c:v>28287.999999999996</c:v>
                </c:pt>
                <c:pt idx="5">
                  <c:v>29433.999999999996</c:v>
                </c:pt>
                <c:pt idx="6">
                  <c:v>24137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47A-47D0-B109-A9114B7F6E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2091792"/>
        <c:axId val="802094512"/>
      </c:lineChart>
      <c:catAx>
        <c:axId val="80209179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802094512"/>
        <c:crosses val="autoZero"/>
        <c:auto val="1"/>
        <c:lblAlgn val="ctr"/>
        <c:lblOffset val="100"/>
        <c:noMultiLvlLbl val="0"/>
      </c:catAx>
      <c:valAx>
        <c:axId val="802094512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ADT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02091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Including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66"/>
      <c:depthPercent val="100"/>
      <c:rAngAx val="0"/>
      <c:perspective val="1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7577465720024135E-2"/>
          <c:y val="8.013560502587487E-2"/>
          <c:w val="0.87655985254857882"/>
          <c:h val="0.80325343229815682"/>
        </c:manualLayout>
      </c:layout>
      <c:pie3DChart>
        <c:varyColors val="1"/>
        <c:ser>
          <c:idx val="0"/>
          <c:order val="0"/>
          <c:tx>
            <c:strRef>
              <c:f>'21.01 SENTEMA RBT-MITYAN RBT'!$C$18:$N$18</c:f>
              <c:strCache>
                <c:ptCount val="12"/>
                <c:pt idx="0">
                  <c:v>34%</c:v>
                </c:pt>
                <c:pt idx="1">
                  <c:v>31%</c:v>
                </c:pt>
                <c:pt idx="2">
                  <c:v>5%</c:v>
                </c:pt>
                <c:pt idx="3">
                  <c:v>4%</c:v>
                </c:pt>
                <c:pt idx="4">
                  <c:v>13%</c:v>
                </c:pt>
                <c:pt idx="5">
                  <c:v>1%</c:v>
                </c:pt>
                <c:pt idx="6">
                  <c:v>0%</c:v>
                </c:pt>
                <c:pt idx="7">
                  <c:v>5%</c:v>
                </c:pt>
                <c:pt idx="8">
                  <c:v>4%</c:v>
                </c:pt>
                <c:pt idx="9">
                  <c:v>2%</c:v>
                </c:pt>
                <c:pt idx="10">
                  <c:v>2%</c:v>
                </c:pt>
                <c:pt idx="11">
                  <c:v>0%</c:v>
                </c:pt>
              </c:strCache>
            </c:strRef>
          </c:tx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1C0-43BE-ADDE-6EEEF26FE9B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1C0-43BE-ADDE-6EEEF26FE9B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1C0-43BE-ADDE-6EEEF26FE9B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1C0-43BE-ADDE-6EEEF26FE9B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1C0-43BE-ADDE-6EEEF26FE9B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1C0-43BE-ADDE-6EEEF26FE9B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31C0-43BE-ADDE-6EEEF26FE9B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31C0-43BE-ADDE-6EEEF26FE9B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31C0-43BE-ADDE-6EEEF26FE9B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31C0-43BE-ADDE-6EEEF26FE9B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31C0-43BE-ADDE-6EEEF26FE9B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31C0-43BE-ADDE-6EEEF26FE9B8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1C0-43BE-ADDE-6EEEF26FE9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'21.01 SENTEMA RBT-MITYAN RBT'!$C$9:$N$9</c:f>
              <c:strCache>
                <c:ptCount val="12"/>
                <c:pt idx="0">
                  <c:v>1.Motorcycles</c:v>
                </c:pt>
                <c:pt idx="1">
                  <c:v>1. Car</c:v>
                </c:pt>
                <c:pt idx="2">
                  <c:v>2. Station Wagon</c:v>
                </c:pt>
                <c:pt idx="3">
                  <c:v>3. Pickups</c:v>
                </c:pt>
                <c:pt idx="4">
                  <c:v>4. Minibus matatu</c:v>
                </c:pt>
                <c:pt idx="5">
                  <c:v>5. Medium bus </c:v>
                </c:pt>
                <c:pt idx="6">
                  <c:v>6. Large Bus</c:v>
                </c:pt>
                <c:pt idx="7">
                  <c:v>7. Light Truck </c:v>
                </c:pt>
                <c:pt idx="8">
                  <c:v>8. Medium Truck </c:v>
                </c:pt>
                <c:pt idx="9">
                  <c:v>9. Heavy truck </c:v>
                </c:pt>
                <c:pt idx="10">
                  <c:v>10. Truck Trailer </c:v>
                </c:pt>
                <c:pt idx="11">
                  <c:v>12. Tractors</c:v>
                </c:pt>
              </c:strCache>
            </c:strRef>
          </c:cat>
          <c:val>
            <c:numRef>
              <c:f>'[1]Avg Week Munyonyo-Kibuye-2Dir'!$C$107:$N$107</c:f>
              <c:numCache>
                <c:formatCode>General</c:formatCode>
                <c:ptCount val="12"/>
                <c:pt idx="0">
                  <c:v>0.12930183209716614</c:v>
                </c:pt>
                <c:pt idx="1">
                  <c:v>4.7988984766631639E-2</c:v>
                </c:pt>
                <c:pt idx="2">
                  <c:v>1.3401469889907276E-2</c:v>
                </c:pt>
                <c:pt idx="3">
                  <c:v>0.15237739492909838</c:v>
                </c:pt>
                <c:pt idx="4">
                  <c:v>1.6530797551375614E-3</c:v>
                </c:pt>
                <c:pt idx="5">
                  <c:v>3.3379495055662294E-4</c:v>
                </c:pt>
                <c:pt idx="6">
                  <c:v>1.1366910191276423E-2</c:v>
                </c:pt>
                <c:pt idx="7">
                  <c:v>2.1160215615643068E-3</c:v>
                </c:pt>
                <c:pt idx="8">
                  <c:v>1.8398459774728146E-3</c:v>
                </c:pt>
                <c:pt idx="9">
                  <c:v>1.4106810410428709E-4</c:v>
                </c:pt>
                <c:pt idx="10">
                  <c:v>0.63936435904415434</c:v>
                </c:pt>
                <c:pt idx="11">
                  <c:v>1.1523873293026267E-4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1C0-43BE-ADDE-6EEEF26FE9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Excluding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5621349354452078E-2"/>
          <c:y val="0.20025731425750379"/>
          <c:w val="0.83261086583830202"/>
          <c:h val="0.76871916342946045"/>
        </c:manualLayout>
      </c:layout>
      <c:pie3DChart>
        <c:varyColors val="1"/>
        <c:ser>
          <c:idx val="0"/>
          <c:order val="0"/>
          <c:tx>
            <c:strRef>
              <c:f>'21.01 SENTEMA RBT-MITYAN RBT'!$D$19:$N$19</c:f>
              <c:strCache>
                <c:ptCount val="11"/>
                <c:pt idx="0">
                  <c:v>46%</c:v>
                </c:pt>
                <c:pt idx="1">
                  <c:v>7%</c:v>
                </c:pt>
                <c:pt idx="2">
                  <c:v>7%</c:v>
                </c:pt>
                <c:pt idx="3">
                  <c:v>19%</c:v>
                </c:pt>
                <c:pt idx="4">
                  <c:v>1%</c:v>
                </c:pt>
                <c:pt idx="5">
                  <c:v>0%</c:v>
                </c:pt>
                <c:pt idx="6">
                  <c:v>7%</c:v>
                </c:pt>
                <c:pt idx="7">
                  <c:v>6%</c:v>
                </c:pt>
                <c:pt idx="8">
                  <c:v>3%</c:v>
                </c:pt>
                <c:pt idx="9">
                  <c:v>3%</c:v>
                </c:pt>
                <c:pt idx="10">
                  <c:v>0%</c:v>
                </c:pt>
              </c:strCache>
            </c:strRef>
          </c:tx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1B6-44FA-B163-D2897382F42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1B6-44FA-B163-D2897382F42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1B6-44FA-B163-D2897382F42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1B6-44FA-B163-D2897382F42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1B6-44FA-B163-D2897382F42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1B6-44FA-B163-D2897382F42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1B6-44FA-B163-D2897382F42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1B6-44FA-B163-D2897382F42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1B6-44FA-B163-D2897382F42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1B6-44FA-B163-D2897382F42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1B6-44FA-B163-D2897382F42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1B6-44FA-B163-D2897382F42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1B6-44FA-B163-D2897382F42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'21.01 SENTEMA RBT-MITYAN RBT'!$C$9:$N$9</c:f>
              <c:strCache>
                <c:ptCount val="12"/>
                <c:pt idx="0">
                  <c:v>1.Motorcycles</c:v>
                </c:pt>
                <c:pt idx="1">
                  <c:v>1. Car</c:v>
                </c:pt>
                <c:pt idx="2">
                  <c:v>2. Station Wagon</c:v>
                </c:pt>
                <c:pt idx="3">
                  <c:v>3. Pickups</c:v>
                </c:pt>
                <c:pt idx="4">
                  <c:v>4. Minibus matatu</c:v>
                </c:pt>
                <c:pt idx="5">
                  <c:v>5. Medium bus </c:v>
                </c:pt>
                <c:pt idx="6">
                  <c:v>6. Large Bus</c:v>
                </c:pt>
                <c:pt idx="7">
                  <c:v>7. Light Truck </c:v>
                </c:pt>
                <c:pt idx="8">
                  <c:v>8. Medium Truck </c:v>
                </c:pt>
                <c:pt idx="9">
                  <c:v>9. Heavy truck </c:v>
                </c:pt>
                <c:pt idx="10">
                  <c:v>10. Truck Trailer </c:v>
                </c:pt>
                <c:pt idx="11">
                  <c:v>12. Tractors</c:v>
                </c:pt>
              </c:strCache>
            </c:strRef>
          </c:cat>
          <c:val>
            <c:numRef>
              <c:f>'[1]Avg Week Munyonyo-Kibuye-2Dir'!$C$108:$N$108</c:f>
              <c:numCache>
                <c:formatCode>General</c:formatCode>
                <c:ptCount val="12"/>
                <c:pt idx="0">
                  <c:v>0.35853869505093411</c:v>
                </c:pt>
                <c:pt idx="1">
                  <c:v>0.13306778176288778</c:v>
                </c:pt>
                <c:pt idx="2">
                  <c:v>3.7160691756331646E-2</c:v>
                </c:pt>
                <c:pt idx="3">
                  <c:v>0.42252450291721066</c:v>
                </c:pt>
                <c:pt idx="4">
                  <c:v>4.5837947429604037E-3</c:v>
                </c:pt>
                <c:pt idx="5">
                  <c:v>9.2557393848238909E-4</c:v>
                </c:pt>
                <c:pt idx="6">
                  <c:v>3.1519098226534203E-2</c:v>
                </c:pt>
                <c:pt idx="7">
                  <c:v>5.8674776457365756E-3</c:v>
                </c:pt>
                <c:pt idx="8">
                  <c:v>5.1016753990160259E-3</c:v>
                </c:pt>
                <c:pt idx="9">
                  <c:v>3.9116517638243829E-4</c:v>
                </c:pt>
                <c:pt idx="10">
                  <c:v>3.9116502739489079E-4</c:v>
                </c:pt>
                <c:pt idx="11">
                  <c:v>3.1954338352368198E-4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1B6-44FA-B163-D2897382F4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 sz="1600"/>
            </a:pPr>
            <a:r>
              <a:rPr lang="en-US" sz="1600"/>
              <a:t>Average Weekly Traffic Variation - KNBP Mityana to Sentema </a:t>
            </a:r>
          </a:p>
          <a:p>
            <a:pPr>
              <a:defRPr sz="1600"/>
            </a:pPr>
            <a:r>
              <a:rPr lang="en-US" sz="1600"/>
              <a:t> </a:t>
            </a:r>
            <a:endParaRPr lang="x-none" sz="1600"/>
          </a:p>
        </c:rich>
      </c:tx>
      <c:layout>
        <c:manualLayout>
          <c:xMode val="edge"/>
          <c:yMode val="edge"/>
          <c:x val="0.1894018185070572"/>
          <c:y val="2.375656889042715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1581477679321936"/>
          <c:y val="0.11103296703296703"/>
          <c:w val="0.86538180693427458"/>
          <c:h val="0.70688240892965304"/>
        </c:manualLayout>
      </c:layout>
      <c:lineChart>
        <c:grouping val="standard"/>
        <c:varyColors val="0"/>
        <c:ser>
          <c:idx val="0"/>
          <c:order val="0"/>
          <c:tx>
            <c:strRef>
              <c:f>'21.01 SENTEMA-MITYANA 2DIR'!$O$9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'21.01 SENTEMA-MITYANA 2DIR'!$B$10:$B$16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'21.01 SENTEMA-MITYANA 2DIR'!$O$10:$O$16</c:f>
              <c:numCache>
                <c:formatCode>0</c:formatCode>
                <c:ptCount val="7"/>
                <c:pt idx="0">
                  <c:v>24538.999999999993</c:v>
                </c:pt>
                <c:pt idx="1">
                  <c:v>33364.999999999985</c:v>
                </c:pt>
                <c:pt idx="2">
                  <c:v>32484.999999999993</c:v>
                </c:pt>
                <c:pt idx="3">
                  <c:v>32876</c:v>
                </c:pt>
                <c:pt idx="4">
                  <c:v>36092.999999999985</c:v>
                </c:pt>
                <c:pt idx="5">
                  <c:v>37439</c:v>
                </c:pt>
                <c:pt idx="6">
                  <c:v>33911.999999999993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492-4A2D-AF75-BC80C4EFB17F}"/>
            </c:ext>
          </c:extLst>
        </c:ser>
        <c:ser>
          <c:idx val="1"/>
          <c:order val="1"/>
          <c:tx>
            <c:strRef>
              <c:f>'21.01 SENTEMA-MITYANA 2DIR'!$P$9</c:f>
              <c:strCache>
                <c:ptCount val="1"/>
                <c:pt idx="0">
                  <c:v> 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'21.01 SENTEMA-MITYANA 2DIR'!$B$10:$B$16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'21.01 SENTEMA-MITYANA 2DIR'!$P$10:$P$16</c:f>
              <c:numCache>
                <c:formatCode>0</c:formatCode>
                <c:ptCount val="7"/>
                <c:pt idx="0">
                  <c:v>36059</c:v>
                </c:pt>
                <c:pt idx="1">
                  <c:v>48659.999999999993</c:v>
                </c:pt>
                <c:pt idx="2">
                  <c:v>49738</c:v>
                </c:pt>
                <c:pt idx="3">
                  <c:v>50105.999999999993</c:v>
                </c:pt>
                <c:pt idx="4">
                  <c:v>54192.999999999978</c:v>
                </c:pt>
                <c:pt idx="5">
                  <c:v>56090.999999999985</c:v>
                </c:pt>
                <c:pt idx="6">
                  <c:v>51053.999999999993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492-4A2D-AF75-BC80C4EFB1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2091792"/>
        <c:axId val="802094512"/>
      </c:lineChart>
      <c:catAx>
        <c:axId val="80209179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/>
          <a:lstStyle/>
          <a:p>
            <a:pPr>
              <a:defRPr/>
            </a:pPr>
            <a:endParaRPr lang="en-UG"/>
          </a:p>
        </c:txPr>
        <c:crossAx val="802094512"/>
        <c:crosses val="autoZero"/>
        <c:auto val="1"/>
        <c:lblAlgn val="ctr"/>
        <c:lblOffset val="100"/>
        <c:noMultiLvlLbl val="0"/>
      </c:catAx>
      <c:valAx>
        <c:axId val="802094512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ADT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en-UG"/>
          </a:p>
        </c:txPr>
        <c:crossAx val="802091792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Including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66"/>
      <c:depthPercent val="100"/>
      <c:rAngAx val="0"/>
      <c:perspective val="1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7577465720024135E-2"/>
          <c:y val="8.013560502587487E-2"/>
          <c:w val="0.87655985254857882"/>
          <c:h val="0.80325343229815682"/>
        </c:manualLayout>
      </c:layout>
      <c:pie3DChart>
        <c:varyColors val="1"/>
        <c:ser>
          <c:idx val="0"/>
          <c:order val="0"/>
          <c:tx>
            <c:strRef>
              <c:f>'21.01 SENTEMA-MITYANA 2DIR'!$C$18:$N$18</c:f>
              <c:strCache>
                <c:ptCount val="12"/>
                <c:pt idx="0">
                  <c:v>33%</c:v>
                </c:pt>
                <c:pt idx="1">
                  <c:v>31%</c:v>
                </c:pt>
                <c:pt idx="2">
                  <c:v>5%</c:v>
                </c:pt>
                <c:pt idx="3">
                  <c:v>4%</c:v>
                </c:pt>
                <c:pt idx="4">
                  <c:v>13%</c:v>
                </c:pt>
                <c:pt idx="5">
                  <c:v>1%</c:v>
                </c:pt>
                <c:pt idx="6">
                  <c:v>0%</c:v>
                </c:pt>
                <c:pt idx="7">
                  <c:v>5%</c:v>
                </c:pt>
                <c:pt idx="8">
                  <c:v>4%</c:v>
                </c:pt>
                <c:pt idx="9">
                  <c:v>2%</c:v>
                </c:pt>
                <c:pt idx="10">
                  <c:v>2%</c:v>
                </c:pt>
                <c:pt idx="11">
                  <c:v>0%</c:v>
                </c:pt>
              </c:strCache>
            </c:strRef>
          </c:tx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CA8-4003-8040-6711C18384E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CA8-4003-8040-6711C18384E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CA8-4003-8040-6711C18384E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CA8-4003-8040-6711C18384E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CA8-4003-8040-6711C18384E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CA8-4003-8040-6711C18384E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CA8-4003-8040-6711C18384E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CA8-4003-8040-6711C18384E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CA8-4003-8040-6711C18384E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CA8-4003-8040-6711C18384E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CA8-4003-8040-6711C18384E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CA8-4003-8040-6711C18384EB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CA8-4003-8040-6711C18384E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'21.01 SENTEMA-MITYANA 2DIR'!$C$9:$N$9</c:f>
              <c:strCache>
                <c:ptCount val="12"/>
                <c:pt idx="0">
                  <c:v>1.Motorcycles</c:v>
                </c:pt>
                <c:pt idx="1">
                  <c:v>1. Car</c:v>
                </c:pt>
                <c:pt idx="2">
                  <c:v>2. Station Wagon</c:v>
                </c:pt>
                <c:pt idx="3">
                  <c:v>3. Pickups</c:v>
                </c:pt>
                <c:pt idx="4">
                  <c:v>4. Minibus matatu</c:v>
                </c:pt>
                <c:pt idx="5">
                  <c:v>5. Medium bus </c:v>
                </c:pt>
                <c:pt idx="6">
                  <c:v>6. Large Bus</c:v>
                </c:pt>
                <c:pt idx="7">
                  <c:v>7. Light Truck </c:v>
                </c:pt>
                <c:pt idx="8">
                  <c:v>8. Medium Truck </c:v>
                </c:pt>
                <c:pt idx="9">
                  <c:v>9. Heavy truck </c:v>
                </c:pt>
                <c:pt idx="10">
                  <c:v>10. Truck Trailer </c:v>
                </c:pt>
                <c:pt idx="11">
                  <c:v>12. Tractors</c:v>
                </c:pt>
              </c:strCache>
            </c:strRef>
          </c:cat>
          <c:val>
            <c:numRef>
              <c:f>'[1]Avg Week Munyonyo-Kibuye-2Dir'!$C$107:$N$107</c:f>
              <c:numCache>
                <c:formatCode>General</c:formatCode>
                <c:ptCount val="12"/>
                <c:pt idx="0">
                  <c:v>0.12930183209716614</c:v>
                </c:pt>
                <c:pt idx="1">
                  <c:v>4.7988984766631639E-2</c:v>
                </c:pt>
                <c:pt idx="2">
                  <c:v>1.3401469889907276E-2</c:v>
                </c:pt>
                <c:pt idx="3">
                  <c:v>0.15237739492909838</c:v>
                </c:pt>
                <c:pt idx="4">
                  <c:v>1.6530797551375614E-3</c:v>
                </c:pt>
                <c:pt idx="5">
                  <c:v>3.3379495055662294E-4</c:v>
                </c:pt>
                <c:pt idx="6">
                  <c:v>1.1366910191276423E-2</c:v>
                </c:pt>
                <c:pt idx="7">
                  <c:v>2.1160215615643068E-3</c:v>
                </c:pt>
                <c:pt idx="8">
                  <c:v>1.8398459774728146E-3</c:v>
                </c:pt>
                <c:pt idx="9">
                  <c:v>1.4106810410428709E-4</c:v>
                </c:pt>
                <c:pt idx="10">
                  <c:v>0.63936435904415434</c:v>
                </c:pt>
                <c:pt idx="11">
                  <c:v>1.1523873293026267E-4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CA8-4003-8040-6711C18384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Excluding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5621349354452078E-2"/>
          <c:y val="0.20025731425750379"/>
          <c:w val="0.83261086583830202"/>
          <c:h val="0.76871916342946045"/>
        </c:manualLayout>
      </c:layout>
      <c:pie3DChart>
        <c:varyColors val="1"/>
        <c:ser>
          <c:idx val="0"/>
          <c:order val="0"/>
          <c:tx>
            <c:strRef>
              <c:f>'21.01 SENTEMA-MITYANA 2DIR'!$D$19:$N$19</c:f>
              <c:strCache>
                <c:ptCount val="11"/>
                <c:pt idx="0">
                  <c:v>46%</c:v>
                </c:pt>
                <c:pt idx="1">
                  <c:v>7%</c:v>
                </c:pt>
                <c:pt idx="2">
                  <c:v>7%</c:v>
                </c:pt>
                <c:pt idx="3">
                  <c:v>19%</c:v>
                </c:pt>
                <c:pt idx="4">
                  <c:v>1%</c:v>
                </c:pt>
                <c:pt idx="5">
                  <c:v>0%</c:v>
                </c:pt>
                <c:pt idx="6">
                  <c:v>7%</c:v>
                </c:pt>
                <c:pt idx="7">
                  <c:v>6%</c:v>
                </c:pt>
                <c:pt idx="8">
                  <c:v>3%</c:v>
                </c:pt>
                <c:pt idx="9">
                  <c:v>3%</c:v>
                </c:pt>
                <c:pt idx="10">
                  <c:v>0%</c:v>
                </c:pt>
              </c:strCache>
            </c:strRef>
          </c:tx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1C1-48AE-B011-B40736D0CAB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1C1-48AE-B011-B40736D0CAB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1C1-48AE-B011-B40736D0CAB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1C1-48AE-B011-B40736D0CAB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1C1-48AE-B011-B40736D0CAB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1C1-48AE-B011-B40736D0CAB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1C1-48AE-B011-B40736D0CAB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1C1-48AE-B011-B40736D0CAB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1C1-48AE-B011-B40736D0CAB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1C1-48AE-B011-B40736D0CAB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1C1-48AE-B011-B40736D0CAB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1C1-48AE-B011-B40736D0CAB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1C1-48AE-B011-B40736D0CAB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'21.01 SENTEMA-MITYANA 2DIR'!$C$9:$N$9</c:f>
              <c:strCache>
                <c:ptCount val="12"/>
                <c:pt idx="0">
                  <c:v>1.Motorcycles</c:v>
                </c:pt>
                <c:pt idx="1">
                  <c:v>1. Car</c:v>
                </c:pt>
                <c:pt idx="2">
                  <c:v>2. Station Wagon</c:v>
                </c:pt>
                <c:pt idx="3">
                  <c:v>3. Pickups</c:v>
                </c:pt>
                <c:pt idx="4">
                  <c:v>4. Minibus matatu</c:v>
                </c:pt>
                <c:pt idx="5">
                  <c:v>5. Medium bus </c:v>
                </c:pt>
                <c:pt idx="6">
                  <c:v>6. Large Bus</c:v>
                </c:pt>
                <c:pt idx="7">
                  <c:v>7. Light Truck </c:v>
                </c:pt>
                <c:pt idx="8">
                  <c:v>8. Medium Truck </c:v>
                </c:pt>
                <c:pt idx="9">
                  <c:v>9. Heavy truck </c:v>
                </c:pt>
                <c:pt idx="10">
                  <c:v>10. Truck Trailer </c:v>
                </c:pt>
                <c:pt idx="11">
                  <c:v>12. Tractors</c:v>
                </c:pt>
              </c:strCache>
            </c:strRef>
          </c:cat>
          <c:val>
            <c:numRef>
              <c:f>'[1]Avg Week Munyonyo-Kibuye-2Dir'!$C$108:$N$108</c:f>
              <c:numCache>
                <c:formatCode>General</c:formatCode>
                <c:ptCount val="12"/>
                <c:pt idx="0">
                  <c:v>0.35853869505093411</c:v>
                </c:pt>
                <c:pt idx="1">
                  <c:v>0.13306778176288778</c:v>
                </c:pt>
                <c:pt idx="2">
                  <c:v>3.7160691756331646E-2</c:v>
                </c:pt>
                <c:pt idx="3">
                  <c:v>0.42252450291721066</c:v>
                </c:pt>
                <c:pt idx="4">
                  <c:v>4.5837947429604037E-3</c:v>
                </c:pt>
                <c:pt idx="5">
                  <c:v>9.2557393848238909E-4</c:v>
                </c:pt>
                <c:pt idx="6">
                  <c:v>3.1519098226534203E-2</c:v>
                </c:pt>
                <c:pt idx="7">
                  <c:v>5.8674776457365756E-3</c:v>
                </c:pt>
                <c:pt idx="8">
                  <c:v>5.1016753990160259E-3</c:v>
                </c:pt>
                <c:pt idx="9">
                  <c:v>3.9116517638243829E-4</c:v>
                </c:pt>
                <c:pt idx="10">
                  <c:v>3.9116502739489079E-4</c:v>
                </c:pt>
                <c:pt idx="11">
                  <c:v>3.1954338352368198E-4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1C1-48AE-B011-B40736D0CA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4803149606299213" l="0.70866141732283472" r="0.70866141732283472" t="0.74803149606299213" header="0.31496062992125984" footer="0.31496062992125984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31749</xdr:colOff>
      <xdr:row>21</xdr:row>
      <xdr:rowOff>31750</xdr:rowOff>
    </xdr:from>
    <xdr:to>
      <xdr:col>9</xdr:col>
      <xdr:colOff>47625</xdr:colOff>
      <xdr:row>36</xdr:row>
      <xdr:rowOff>79375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19050</xdr:colOff>
      <xdr:row>21</xdr:row>
      <xdr:rowOff>15874</xdr:rowOff>
    </xdr:from>
    <xdr:to>
      <xdr:col>20</xdr:col>
      <xdr:colOff>47625</xdr:colOff>
      <xdr:row>36</xdr:row>
      <xdr:rowOff>119062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47626</xdr:colOff>
      <xdr:row>21</xdr:row>
      <xdr:rowOff>15875</xdr:rowOff>
    </xdr:from>
    <xdr:to>
      <xdr:col>14</xdr:col>
      <xdr:colOff>0</xdr:colOff>
      <xdr:row>36</xdr:row>
      <xdr:rowOff>95250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317499</xdr:colOff>
      <xdr:row>20</xdr:row>
      <xdr:rowOff>31750</xdr:rowOff>
    </xdr:from>
    <xdr:to>
      <xdr:col>9</xdr:col>
      <xdr:colOff>0</xdr:colOff>
      <xdr:row>39</xdr:row>
      <xdr:rowOff>206375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971549</xdr:colOff>
      <xdr:row>19</xdr:row>
      <xdr:rowOff>253999</xdr:rowOff>
    </xdr:from>
    <xdr:to>
      <xdr:col>22</xdr:col>
      <xdr:colOff>396875</xdr:colOff>
      <xdr:row>39</xdr:row>
      <xdr:rowOff>269875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20</xdr:row>
      <xdr:rowOff>15875</xdr:rowOff>
    </xdr:from>
    <xdr:to>
      <xdr:col>14</xdr:col>
      <xdr:colOff>793750</xdr:colOff>
      <xdr:row>39</xdr:row>
      <xdr:rowOff>269875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317499</xdr:colOff>
      <xdr:row>20</xdr:row>
      <xdr:rowOff>31750</xdr:rowOff>
    </xdr:from>
    <xdr:to>
      <xdr:col>9</xdr:col>
      <xdr:colOff>928272</xdr:colOff>
      <xdr:row>35</xdr:row>
      <xdr:rowOff>115613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140276</xdr:colOff>
      <xdr:row>20</xdr:row>
      <xdr:rowOff>11543</xdr:rowOff>
    </xdr:from>
    <xdr:to>
      <xdr:col>22</xdr:col>
      <xdr:colOff>590412</xdr:colOff>
      <xdr:row>35</xdr:row>
      <xdr:rowOff>95406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1064201</xdr:colOff>
      <xdr:row>20</xdr:row>
      <xdr:rowOff>15875</xdr:rowOff>
    </xdr:from>
    <xdr:to>
      <xdr:col>15</xdr:col>
      <xdr:colOff>76928</xdr:colOff>
      <xdr:row>35</xdr:row>
      <xdr:rowOff>99738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R.O/Desktop/STN-C1-RD-1A-SALAMA%20ROAD/MCC%20DATA/MCC-C1-STN1A-%20SALAMA%20Roa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2.07 Kibuye-Munyonyo"/>
      <sheetName val="22.07 Munyonyo-Kibuye"/>
      <sheetName val="23.07 Kibuye-Munyonyo"/>
      <sheetName val="23.07 Munyonyo-Kibuye"/>
      <sheetName val="24.07 Kibuye-Munyonyo"/>
      <sheetName val="24.07 Munyonyo-Kibuye"/>
      <sheetName val="25.07 Kibuye-Munyonyo"/>
      <sheetName val="25.07 Munyonyo-Kibuye"/>
      <sheetName val="26.07 Kibuye-Munyonyo-24h"/>
      <sheetName val="26.07 Munyonyo-Kibuye-24h"/>
      <sheetName val="27.07 Kibuye-Munyonyo-24h"/>
      <sheetName val="27.07 Munyonyo-Kibuye-24h"/>
      <sheetName val="28.07 Kibuye-Munyonyo"/>
      <sheetName val="28.07 Munyonyo-Kibuye"/>
      <sheetName val="Avg Week Kibuye-Munyonyo"/>
      <sheetName val="Avg Week Munyonyo-Kibuye"/>
      <sheetName val="proportions"/>
      <sheetName val="Avg Week Munyonyo-Kibuye-2Di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07">
          <cell r="C107">
            <v>0.12930183209716614</v>
          </cell>
          <cell r="D107">
            <v>4.7988984766631639E-2</v>
          </cell>
          <cell r="E107">
            <v>1.3401469889907276E-2</v>
          </cell>
          <cell r="F107">
            <v>0.15237739492909838</v>
          </cell>
          <cell r="G107">
            <v>1.6530797551375614E-3</v>
          </cell>
          <cell r="H107">
            <v>3.3379495055662294E-4</v>
          </cell>
          <cell r="I107">
            <v>1.1366910191276423E-2</v>
          </cell>
          <cell r="J107">
            <v>2.1160215615643068E-3</v>
          </cell>
          <cell r="K107">
            <v>1.8398459774728146E-3</v>
          </cell>
          <cell r="L107">
            <v>1.4106810410428709E-4</v>
          </cell>
          <cell r="M107">
            <v>0.63936435904415434</v>
          </cell>
          <cell r="N107">
            <v>1.1523873293026267E-4</v>
          </cell>
        </row>
        <row r="108">
          <cell r="C108">
            <v>0.35853869505093411</v>
          </cell>
          <cell r="D108">
            <v>0.13306778176288778</v>
          </cell>
          <cell r="E108">
            <v>3.7160691756331646E-2</v>
          </cell>
          <cell r="F108">
            <v>0.42252450291721066</v>
          </cell>
          <cell r="G108">
            <v>4.5837947429604037E-3</v>
          </cell>
          <cell r="H108">
            <v>9.2557393848238909E-4</v>
          </cell>
          <cell r="I108">
            <v>3.1519098226534203E-2</v>
          </cell>
          <cell r="J108">
            <v>5.8674776457365756E-3</v>
          </cell>
          <cell r="K108">
            <v>5.1016753990160259E-3</v>
          </cell>
          <cell r="L108">
            <v>3.9116517638243829E-4</v>
          </cell>
          <cell r="M108">
            <v>3.9116502739489079E-4</v>
          </cell>
          <cell r="N108">
            <v>3.1954338352368198E-4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2" tint="-0.249977111117893"/>
  </sheetPr>
  <dimension ref="B1:AD151"/>
  <sheetViews>
    <sheetView view="pageBreakPreview" zoomScale="55" zoomScaleSheetLayoutView="55" workbookViewId="0">
      <selection activeCell="C9" sqref="C9:N9"/>
    </sheetView>
  </sheetViews>
  <sheetFormatPr defaultColWidth="15" defaultRowHeight="20.100000000000001" customHeight="1" x14ac:dyDescent="0.25"/>
  <cols>
    <col min="1" max="1" width="4.85546875" customWidth="1"/>
    <col min="2" max="2" width="19.570312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5.7109375" customWidth="1"/>
    <col min="10" max="10" width="18.42578125" customWidth="1"/>
    <col min="11" max="11" width="20.42578125" customWidth="1"/>
    <col min="12" max="12" width="19.28515625" customWidth="1"/>
    <col min="13" max="13" width="14.5703125" customWidth="1"/>
    <col min="14" max="14" width="16.28515625" customWidth="1"/>
    <col min="15" max="15" width="14.85546875" customWidth="1"/>
    <col min="16" max="16" width="14.28515625" customWidth="1"/>
    <col min="17" max="17" width="14.7109375" customWidth="1"/>
    <col min="18" max="19" width="10.7109375" style="2" customWidth="1"/>
    <col min="20" max="32" width="10.7109375" customWidth="1"/>
  </cols>
  <sheetData>
    <row r="1" spans="2:30" ht="23.25" customHeight="1" x14ac:dyDescent="0.3">
      <c r="B1" s="32" t="s">
        <v>0</v>
      </c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</row>
    <row r="2" spans="2:30" ht="20.100000000000001" customHeight="1" x14ac:dyDescent="0.25">
      <c r="B2" s="33" t="s">
        <v>28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</row>
    <row r="3" spans="2:30" ht="20.100000000000001" customHeight="1" x14ac:dyDescent="0.25">
      <c r="B3" s="1" t="s">
        <v>1</v>
      </c>
      <c r="C3" s="36" t="s">
        <v>29</v>
      </c>
      <c r="D3" s="36"/>
      <c r="E3" s="36"/>
      <c r="F3" s="36"/>
      <c r="G3" s="15"/>
      <c r="H3" s="15"/>
      <c r="I3" s="15"/>
      <c r="J3" s="15"/>
      <c r="K3" s="1"/>
      <c r="L3" s="1"/>
      <c r="M3" s="1"/>
      <c r="N3" s="1"/>
      <c r="O3" s="1"/>
      <c r="P3" s="1"/>
    </row>
    <row r="4" spans="2:30" ht="20.10000000000000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30" ht="20.100000000000001" customHeight="1" x14ac:dyDescent="0.25">
      <c r="C5" s="3" t="s">
        <v>2</v>
      </c>
      <c r="D5" s="35" t="s">
        <v>13</v>
      </c>
      <c r="E5" s="35"/>
      <c r="F5" s="4" t="s">
        <v>3</v>
      </c>
      <c r="G5" s="37"/>
      <c r="H5" s="38"/>
      <c r="I5" s="5"/>
      <c r="J5" s="3" t="s">
        <v>4</v>
      </c>
      <c r="K5" s="37" t="s">
        <v>15</v>
      </c>
      <c r="L5" s="38"/>
      <c r="M5" s="2"/>
      <c r="N5" s="2"/>
    </row>
    <row r="6" spans="2:30" ht="23.25" customHeight="1" x14ac:dyDescent="0.25">
      <c r="C6" s="3" t="s">
        <v>5</v>
      </c>
      <c r="D6" s="39" t="s">
        <v>16</v>
      </c>
      <c r="E6" s="40"/>
      <c r="F6" s="3" t="s">
        <v>6</v>
      </c>
      <c r="G6" s="39" t="s">
        <v>17</v>
      </c>
      <c r="H6" s="40"/>
      <c r="J6" s="3" t="s">
        <v>7</v>
      </c>
      <c r="K6" s="39" t="s">
        <v>14</v>
      </c>
      <c r="L6" s="40"/>
      <c r="M6" s="2"/>
      <c r="N6" s="2"/>
    </row>
    <row r="7" spans="2:30" ht="20.100000000000001" customHeight="1" x14ac:dyDescent="0.25">
      <c r="D7" s="2"/>
      <c r="E7" s="2"/>
      <c r="R7"/>
      <c r="S7"/>
    </row>
    <row r="8" spans="2:30" ht="50.25" customHeight="1" x14ac:dyDescent="0.25">
      <c r="C8" s="34" t="s">
        <v>9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R8"/>
      <c r="S8"/>
    </row>
    <row r="9" spans="2:30" ht="42.75" customHeight="1" x14ac:dyDescent="0.25">
      <c r="B9" s="14" t="s">
        <v>8</v>
      </c>
      <c r="C9" s="24" t="s">
        <v>18</v>
      </c>
      <c r="D9" s="24" t="s">
        <v>33</v>
      </c>
      <c r="E9" s="24" t="s">
        <v>34</v>
      </c>
      <c r="F9" s="24" t="s">
        <v>35</v>
      </c>
      <c r="G9" s="24" t="s">
        <v>36</v>
      </c>
      <c r="H9" s="24" t="s">
        <v>37</v>
      </c>
      <c r="I9" s="24" t="s">
        <v>38</v>
      </c>
      <c r="J9" s="24" t="s">
        <v>39</v>
      </c>
      <c r="K9" s="24" t="s">
        <v>40</v>
      </c>
      <c r="L9" s="24" t="s">
        <v>41</v>
      </c>
      <c r="M9" s="24" t="s">
        <v>42</v>
      </c>
      <c r="N9" s="24" t="s">
        <v>43</v>
      </c>
      <c r="O9" s="7" t="s">
        <v>10</v>
      </c>
      <c r="P9" s="7" t="s">
        <v>27</v>
      </c>
      <c r="R9"/>
      <c r="S9"/>
    </row>
    <row r="10" spans="2:30" ht="23.1" customHeight="1" x14ac:dyDescent="0.25">
      <c r="B10" s="6" t="s">
        <v>19</v>
      </c>
      <c r="C10" s="27">
        <v>8831</v>
      </c>
      <c r="D10" s="8">
        <f>$O10*D$20</f>
        <v>7818.2114886404252</v>
      </c>
      <c r="E10" s="8">
        <f t="shared" ref="E10:N16" si="0">$O10*E$20</f>
        <v>1209.8358374671495</v>
      </c>
      <c r="F10" s="8">
        <f t="shared" si="0"/>
        <v>1105.0749809507515</v>
      </c>
      <c r="G10" s="8">
        <f t="shared" si="0"/>
        <v>3196.0974823891634</v>
      </c>
      <c r="H10" s="8">
        <f t="shared" si="0"/>
        <v>204.33085978198329</v>
      </c>
      <c r="I10" s="8">
        <f t="shared" si="0"/>
        <v>68.267585177352373</v>
      </c>
      <c r="J10" s="8">
        <f t="shared" si="0"/>
        <v>1236.9960595269563</v>
      </c>
      <c r="K10" s="8">
        <f t="shared" si="0"/>
        <v>1020.972671715365</v>
      </c>
      <c r="L10" s="8">
        <f t="shared" si="0"/>
        <v>452.65289004307459</v>
      </c>
      <c r="M10" s="8">
        <f t="shared" si="0"/>
        <v>545.7736513909839</v>
      </c>
      <c r="N10" s="8">
        <f t="shared" si="0"/>
        <v>0.78649291678977395</v>
      </c>
      <c r="O10" s="9">
        <v>16859</v>
      </c>
      <c r="P10" s="9">
        <f>SUM(C10:N10)</f>
        <v>25689.999999999989</v>
      </c>
      <c r="R10"/>
      <c r="S10"/>
    </row>
    <row r="11" spans="2:30" s="10" customFormat="1" ht="23.1" customHeight="1" x14ac:dyDescent="0.25">
      <c r="B11" s="6" t="s">
        <v>23</v>
      </c>
      <c r="C11" s="27">
        <v>6334</v>
      </c>
      <c r="D11" s="8">
        <f t="shared" ref="D11:D16" si="1">$O11*D$20</f>
        <v>7979.1296561805066</v>
      </c>
      <c r="E11" s="8">
        <f t="shared" si="0"/>
        <v>1234.737257219276</v>
      </c>
      <c r="F11" s="8">
        <f t="shared" si="0"/>
        <v>1127.8201626572531</v>
      </c>
      <c r="G11" s="8">
        <f t="shared" si="0"/>
        <v>3261.8810891504804</v>
      </c>
      <c r="H11" s="8">
        <f t="shared" si="0"/>
        <v>208.53649524935076</v>
      </c>
      <c r="I11" s="8">
        <f t="shared" si="0"/>
        <v>69.672701261137959</v>
      </c>
      <c r="J11" s="8">
        <f t="shared" si="0"/>
        <v>1262.4565039575782</v>
      </c>
      <c r="K11" s="8">
        <f t="shared" si="0"/>
        <v>1041.986819475329</v>
      </c>
      <c r="L11" s="8">
        <f t="shared" si="0"/>
        <v>461.96960828525664</v>
      </c>
      <c r="M11" s="8">
        <f t="shared" si="0"/>
        <v>557.00702567372139</v>
      </c>
      <c r="N11" s="8">
        <f t="shared" si="0"/>
        <v>0.8026808901052761</v>
      </c>
      <c r="O11" s="9">
        <v>17206</v>
      </c>
      <c r="P11" s="9">
        <f t="shared" ref="P11:P16" si="2">SUM(C11:N11)</f>
        <v>23539.999999999993</v>
      </c>
    </row>
    <row r="12" spans="2:30" ht="23.1" customHeight="1" x14ac:dyDescent="0.25">
      <c r="B12" s="6" t="s">
        <v>24</v>
      </c>
      <c r="C12" s="27">
        <v>8244</v>
      </c>
      <c r="D12" s="8">
        <f t="shared" si="1"/>
        <v>7322.4722347489369</v>
      </c>
      <c r="E12" s="8">
        <f t="shared" si="0"/>
        <v>1133.1222417466215</v>
      </c>
      <c r="F12" s="8">
        <f t="shared" si="0"/>
        <v>1035.0040897569468</v>
      </c>
      <c r="G12" s="8">
        <f t="shared" si="0"/>
        <v>2993.4384748161156</v>
      </c>
      <c r="H12" s="8">
        <f t="shared" si="0"/>
        <v>191.37459374562644</v>
      </c>
      <c r="I12" s="8">
        <f t="shared" si="0"/>
        <v>63.938855801079185</v>
      </c>
      <c r="J12" s="8">
        <f t="shared" si="0"/>
        <v>1158.5602811513518</v>
      </c>
      <c r="K12" s="8">
        <f t="shared" si="0"/>
        <v>956.23456233380466</v>
      </c>
      <c r="L12" s="8">
        <f t="shared" si="0"/>
        <v>423.95095401744754</v>
      </c>
      <c r="M12" s="8">
        <f t="shared" si="0"/>
        <v>511.16708911938042</v>
      </c>
      <c r="N12" s="8">
        <f t="shared" si="0"/>
        <v>0.73662276268524407</v>
      </c>
      <c r="O12" s="9">
        <v>15790</v>
      </c>
      <c r="P12" s="9">
        <f t="shared" si="2"/>
        <v>24033.999999999989</v>
      </c>
      <c r="R12"/>
      <c r="S12"/>
    </row>
    <row r="13" spans="2:30" ht="23.1" customHeight="1" x14ac:dyDescent="0.25">
      <c r="B13" s="6" t="s">
        <v>20</v>
      </c>
      <c r="C13" s="27">
        <v>8208</v>
      </c>
      <c r="D13" s="8">
        <f t="shared" si="1"/>
        <v>7404.0906713110526</v>
      </c>
      <c r="E13" s="8">
        <f t="shared" si="0"/>
        <v>1145.7523566641264</v>
      </c>
      <c r="F13" s="8">
        <f t="shared" si="0"/>
        <v>1046.5405507954029</v>
      </c>
      <c r="G13" s="8">
        <f t="shared" si="0"/>
        <v>3026.8042234904433</v>
      </c>
      <c r="H13" s="8">
        <f t="shared" si="0"/>
        <v>193.50771144665433</v>
      </c>
      <c r="I13" s="8">
        <f t="shared" si="0"/>
        <v>64.651537157696666</v>
      </c>
      <c r="J13" s="8">
        <f t="shared" si="0"/>
        <v>1171.4739359634252</v>
      </c>
      <c r="K13" s="8">
        <f t="shared" si="0"/>
        <v>966.89303497286426</v>
      </c>
      <c r="L13" s="8">
        <f t="shared" si="0"/>
        <v>428.67643646881362</v>
      </c>
      <c r="M13" s="8">
        <f t="shared" si="0"/>
        <v>516.86470835212333</v>
      </c>
      <c r="N13" s="8">
        <f t="shared" si="0"/>
        <v>0.74483337739281863</v>
      </c>
      <c r="O13" s="9">
        <v>15966</v>
      </c>
      <c r="P13" s="9">
        <f t="shared" si="2"/>
        <v>24173.999999999996</v>
      </c>
      <c r="R13"/>
      <c r="S13"/>
    </row>
    <row r="14" spans="2:30" ht="23.1" customHeight="1" x14ac:dyDescent="0.25">
      <c r="B14" s="6" t="s">
        <v>21</v>
      </c>
      <c r="C14" s="27">
        <v>8590</v>
      </c>
      <c r="D14" s="8">
        <f t="shared" si="1"/>
        <v>8029.6774379149992</v>
      </c>
      <c r="E14" s="8">
        <f t="shared" si="0"/>
        <v>1242.55931702614</v>
      </c>
      <c r="F14" s="8">
        <f t="shared" si="0"/>
        <v>1134.9649027322062</v>
      </c>
      <c r="G14" s="8">
        <f t="shared" si="0"/>
        <v>3282.5451039544673</v>
      </c>
      <c r="H14" s="8">
        <f t="shared" si="0"/>
        <v>209.85757382555553</v>
      </c>
      <c r="I14" s="8">
        <f t="shared" si="0"/>
        <v>70.114077783134007</v>
      </c>
      <c r="J14" s="8">
        <f t="shared" si="0"/>
        <v>1270.4541651764191</v>
      </c>
      <c r="K14" s="8">
        <f t="shared" si="0"/>
        <v>1048.5878053711101</v>
      </c>
      <c r="L14" s="8">
        <f t="shared" si="0"/>
        <v>464.89618548525038</v>
      </c>
      <c r="M14" s="8">
        <f t="shared" si="0"/>
        <v>560.53566485763599</v>
      </c>
      <c r="N14" s="8">
        <f t="shared" si="0"/>
        <v>0.80776587307758085</v>
      </c>
      <c r="O14" s="9">
        <v>17315</v>
      </c>
      <c r="P14" s="9">
        <f t="shared" si="2"/>
        <v>25904.999999999996</v>
      </c>
      <c r="R14"/>
      <c r="S14"/>
    </row>
    <row r="15" spans="2:30" ht="23.1" customHeight="1" x14ac:dyDescent="0.25">
      <c r="B15" s="6" t="s">
        <v>22</v>
      </c>
      <c r="C15" s="27">
        <v>8763</v>
      </c>
      <c r="D15" s="8">
        <f t="shared" si="1"/>
        <v>8298.183544559688</v>
      </c>
      <c r="E15" s="8">
        <f t="shared" si="0"/>
        <v>1284.1095246240686</v>
      </c>
      <c r="F15" s="8">
        <f t="shared" si="0"/>
        <v>1172.9172376257636</v>
      </c>
      <c r="G15" s="8">
        <f t="shared" si="0"/>
        <v>3392.3108339683072</v>
      </c>
      <c r="H15" s="8">
        <f t="shared" si="0"/>
        <v>216.87504626245976</v>
      </c>
      <c r="I15" s="8">
        <f t="shared" si="0"/>
        <v>72.458637473369919</v>
      </c>
      <c r="J15" s="8">
        <f t="shared" si="0"/>
        <v>1312.9371545865922</v>
      </c>
      <c r="K15" s="8">
        <f t="shared" si="0"/>
        <v>1083.6517579734707</v>
      </c>
      <c r="L15" s="8">
        <f t="shared" si="0"/>
        <v>480.44194877696049</v>
      </c>
      <c r="M15" s="8">
        <f t="shared" si="0"/>
        <v>579.27953721989832</v>
      </c>
      <c r="N15" s="8">
        <f t="shared" si="0"/>
        <v>0.83477692941670412</v>
      </c>
      <c r="O15" s="9">
        <v>17894</v>
      </c>
      <c r="P15" s="9">
        <f t="shared" si="2"/>
        <v>26656.999999999993</v>
      </c>
      <c r="R15"/>
      <c r="S15"/>
    </row>
    <row r="16" spans="2:30" ht="23.1" customHeight="1" x14ac:dyDescent="0.25">
      <c r="B16" s="6" t="s">
        <v>25</v>
      </c>
      <c r="C16" s="27">
        <v>8962</v>
      </c>
      <c r="D16" s="8">
        <f t="shared" si="1"/>
        <v>8326.4717526863296</v>
      </c>
      <c r="E16" s="8">
        <f t="shared" si="0"/>
        <v>1288.4870076352493</v>
      </c>
      <c r="F16" s="8">
        <f t="shared" si="0"/>
        <v>1176.9156701447739</v>
      </c>
      <c r="G16" s="8">
        <f t="shared" si="0"/>
        <v>3403.8750991338416</v>
      </c>
      <c r="H16" s="8">
        <f t="shared" si="0"/>
        <v>217.6143654656569</v>
      </c>
      <c r="I16" s="8">
        <f t="shared" si="0"/>
        <v>72.70564635265211</v>
      </c>
      <c r="J16" s="8">
        <f t="shared" si="0"/>
        <v>1317.4129099475949</v>
      </c>
      <c r="K16" s="8">
        <f t="shared" si="0"/>
        <v>1087.3458876949628</v>
      </c>
      <c r="L16" s="8">
        <f t="shared" si="0"/>
        <v>482.07975803567263</v>
      </c>
      <c r="M16" s="8">
        <f t="shared" si="0"/>
        <v>581.25428024942846</v>
      </c>
      <c r="N16" s="8">
        <f t="shared" si="0"/>
        <v>0.83762265383239753</v>
      </c>
      <c r="O16" s="9">
        <v>17955</v>
      </c>
      <c r="P16" s="9">
        <f t="shared" si="2"/>
        <v>26916.999999999996</v>
      </c>
      <c r="R16"/>
      <c r="S16"/>
    </row>
    <row r="17" spans="2:19" ht="19.5" customHeight="1" x14ac:dyDescent="0.25">
      <c r="B17" s="16" t="s">
        <v>26</v>
      </c>
      <c r="C17" s="11">
        <f>AVERAGE(C10:C16)</f>
        <v>8276</v>
      </c>
      <c r="D17" s="11">
        <f t="shared" ref="D17:N17" si="3">AVERAGE(D10:D16)</f>
        <v>7882.6052551488483</v>
      </c>
      <c r="E17" s="11">
        <f t="shared" si="3"/>
        <v>1219.8005060546616</v>
      </c>
      <c r="F17" s="11">
        <f t="shared" si="3"/>
        <v>1114.1767992375853</v>
      </c>
      <c r="G17" s="11">
        <f t="shared" si="3"/>
        <v>3222.421758128974</v>
      </c>
      <c r="H17" s="11">
        <f t="shared" si="3"/>
        <v>206.01380653961243</v>
      </c>
      <c r="I17" s="11">
        <f t="shared" si="3"/>
        <v>68.82986300091747</v>
      </c>
      <c r="J17" s="11">
        <f t="shared" si="3"/>
        <v>1247.184430044274</v>
      </c>
      <c r="K17" s="11">
        <f t="shared" si="3"/>
        <v>1029.3817913624152</v>
      </c>
      <c r="L17" s="11">
        <f t="shared" si="3"/>
        <v>456.38111158749649</v>
      </c>
      <c r="M17" s="11">
        <f t="shared" si="3"/>
        <v>550.26885098045307</v>
      </c>
      <c r="N17" s="11">
        <f t="shared" si="3"/>
        <v>0.79297077189997078</v>
      </c>
      <c r="O17" s="12">
        <v>16997.857142857141</v>
      </c>
      <c r="P17" s="12">
        <f>AVERAGE(P10:P16)</f>
        <v>25273.857142857138</v>
      </c>
      <c r="R17"/>
      <c r="S17"/>
    </row>
    <row r="18" spans="2:19" ht="23.1" customHeight="1" x14ac:dyDescent="0.25">
      <c r="B18" s="18" t="s">
        <v>11</v>
      </c>
      <c r="C18" s="17">
        <f>C$17/P$17</f>
        <v>0.32745298642866438</v>
      </c>
      <c r="D18" s="17">
        <f>D17/$P$17</f>
        <v>0.3118877031943903</v>
      </c>
      <c r="E18" s="17">
        <f>E17/$P$17</f>
        <v>4.8263329936538792E-2</v>
      </c>
      <c r="F18" s="17">
        <f t="shared" ref="F18:N18" si="4">F17/$P$17</f>
        <v>4.4084161469294073E-2</v>
      </c>
      <c r="G18" s="17">
        <f t="shared" si="4"/>
        <v>0.12750019674142576</v>
      </c>
      <c r="H18" s="17">
        <f t="shared" si="4"/>
        <v>8.1512610194457696E-3</v>
      </c>
      <c r="I18" s="17">
        <f t="shared" si="4"/>
        <v>2.723362034210519E-3</v>
      </c>
      <c r="J18" s="17">
        <f t="shared" si="4"/>
        <v>4.9346818057676309E-2</v>
      </c>
      <c r="K18" s="17">
        <f t="shared" si="4"/>
        <v>4.0729113310404928E-2</v>
      </c>
      <c r="L18" s="17">
        <f t="shared" si="4"/>
        <v>1.8057438126988793E-2</v>
      </c>
      <c r="M18" s="17">
        <f t="shared" si="4"/>
        <v>2.1772254542317428E-2</v>
      </c>
      <c r="N18" s="17">
        <f t="shared" si="4"/>
        <v>3.1375138642978327E-5</v>
      </c>
      <c r="O18" s="12"/>
      <c r="P18" s="12"/>
      <c r="R18"/>
      <c r="S18"/>
    </row>
    <row r="19" spans="2:19" ht="23.1" customHeight="1" x14ac:dyDescent="0.25">
      <c r="B19" s="18" t="s">
        <v>12</v>
      </c>
      <c r="C19" s="17"/>
      <c r="D19" s="17">
        <f t="shared" ref="D19:N19" si="5">D$17/$O$17</f>
        <v>0.46374111683020502</v>
      </c>
      <c r="E19" s="17">
        <f t="shared" si="5"/>
        <v>7.1762016576733464E-2</v>
      </c>
      <c r="F19" s="17">
        <f t="shared" si="5"/>
        <v>6.5548074082137225E-2</v>
      </c>
      <c r="G19" s="17">
        <f t="shared" si="5"/>
        <v>0.18957811746777173</v>
      </c>
      <c r="H19" s="17">
        <f t="shared" si="5"/>
        <v>1.2119986937658421E-2</v>
      </c>
      <c r="I19" s="17">
        <f t="shared" si="5"/>
        <v>4.0493258898720201E-3</v>
      </c>
      <c r="J19" s="17">
        <f t="shared" si="5"/>
        <v>7.3373038704962132E-2</v>
      </c>
      <c r="K19" s="17">
        <f t="shared" si="5"/>
        <v>6.0559503631019938E-2</v>
      </c>
      <c r="L19" s="17">
        <f t="shared" si="5"/>
        <v>2.6849332110034676E-2</v>
      </c>
      <c r="M19" s="17">
        <f t="shared" si="5"/>
        <v>3.2372836549675772E-2</v>
      </c>
      <c r="N19" s="17">
        <f t="shared" si="5"/>
        <v>4.6651219929401152E-5</v>
      </c>
      <c r="O19" s="12"/>
      <c r="P19" s="12"/>
      <c r="R19"/>
      <c r="S19"/>
    </row>
    <row r="20" spans="2:19" ht="23.1" customHeight="1" x14ac:dyDescent="0.25">
      <c r="D20" s="25">
        <v>0.46374111683020497</v>
      </c>
      <c r="E20" s="25">
        <v>7.1762016576733464E-2</v>
      </c>
      <c r="F20" s="26">
        <v>6.5548074082137225E-2</v>
      </c>
      <c r="G20" s="26">
        <v>0.18957811746777173</v>
      </c>
      <c r="H20" s="26">
        <v>1.2119986937658419E-2</v>
      </c>
      <c r="I20" s="26">
        <v>4.0493258898720193E-3</v>
      </c>
      <c r="J20" s="26">
        <v>7.3373038704962118E-2</v>
      </c>
      <c r="K20" s="26">
        <v>6.0559503631019931E-2</v>
      </c>
      <c r="L20" s="26">
        <v>2.6849332110034676E-2</v>
      </c>
      <c r="M20" s="26">
        <v>3.2372836549675772E-2</v>
      </c>
      <c r="N20" s="26">
        <v>4.6651219929401145E-5</v>
      </c>
      <c r="R20"/>
      <c r="S20"/>
    </row>
    <row r="21" spans="2:19" ht="23.1" customHeight="1" x14ac:dyDescent="0.25">
      <c r="D21" s="2"/>
      <c r="E21" s="2"/>
      <c r="R21"/>
      <c r="S21"/>
    </row>
    <row r="22" spans="2:19" ht="23.1" customHeight="1" x14ac:dyDescent="0.25">
      <c r="D22" s="2"/>
      <c r="E22" s="2"/>
      <c r="R22"/>
      <c r="S22"/>
    </row>
    <row r="23" spans="2:19" ht="23.1" customHeight="1" x14ac:dyDescent="0.25">
      <c r="C23" s="2"/>
      <c r="D23" s="2"/>
      <c r="R23"/>
      <c r="S23"/>
    </row>
    <row r="24" spans="2:19" ht="23.1" customHeight="1" x14ac:dyDescent="0.25">
      <c r="C24" s="2"/>
      <c r="D24" s="2"/>
      <c r="R24"/>
      <c r="S24"/>
    </row>
    <row r="25" spans="2:19" ht="23.1" customHeight="1" x14ac:dyDescent="0.25">
      <c r="C25" s="2"/>
      <c r="D25" s="2"/>
      <c r="R25"/>
      <c r="S25"/>
    </row>
    <row r="26" spans="2:19" ht="23.1" customHeight="1" x14ac:dyDescent="0.25">
      <c r="C26" s="2"/>
      <c r="D26" s="2"/>
      <c r="R26"/>
      <c r="S26"/>
    </row>
    <row r="27" spans="2:19" ht="23.1" customHeight="1" x14ac:dyDescent="0.25">
      <c r="C27" s="2"/>
      <c r="D27" s="2"/>
      <c r="R27"/>
      <c r="S27"/>
    </row>
    <row r="28" spans="2:19" ht="23.1" customHeight="1" x14ac:dyDescent="0.25">
      <c r="C28" s="2"/>
      <c r="D28" s="2"/>
      <c r="R28"/>
      <c r="S28"/>
    </row>
    <row r="29" spans="2:19" ht="23.1" customHeight="1" x14ac:dyDescent="0.25">
      <c r="C29" s="2"/>
      <c r="D29" s="2"/>
      <c r="R29"/>
      <c r="S29"/>
    </row>
    <row r="30" spans="2:19" ht="23.1" customHeight="1" x14ac:dyDescent="0.25">
      <c r="C30" s="2"/>
      <c r="D30" s="2"/>
      <c r="R30"/>
      <c r="S30"/>
    </row>
    <row r="31" spans="2:19" ht="23.1" customHeight="1" x14ac:dyDescent="0.25">
      <c r="C31" s="2"/>
      <c r="D31" s="2"/>
      <c r="R31"/>
      <c r="S31"/>
    </row>
    <row r="32" spans="2:19" ht="23.1" customHeight="1" x14ac:dyDescent="0.25">
      <c r="C32" s="2"/>
      <c r="D32" s="2"/>
      <c r="R32"/>
      <c r="S32"/>
    </row>
    <row r="33" spans="3:19" ht="23.1" customHeight="1" x14ac:dyDescent="0.25">
      <c r="C33" s="2"/>
      <c r="D33" s="2"/>
      <c r="R33"/>
      <c r="S33"/>
    </row>
    <row r="34" spans="3:19" ht="23.1" customHeight="1" x14ac:dyDescent="0.25">
      <c r="C34" s="2"/>
      <c r="D34" s="2"/>
      <c r="R34"/>
      <c r="S34"/>
    </row>
    <row r="35" spans="3:19" ht="23.1" customHeight="1" x14ac:dyDescent="0.25">
      <c r="C35" s="2"/>
      <c r="D35" s="2"/>
      <c r="R35"/>
      <c r="S35"/>
    </row>
    <row r="36" spans="3:19" ht="23.1" customHeight="1" x14ac:dyDescent="0.25">
      <c r="C36" s="2"/>
      <c r="D36" s="2"/>
      <c r="R36"/>
      <c r="S36"/>
    </row>
    <row r="37" spans="3:19" ht="23.1" customHeight="1" x14ac:dyDescent="0.25">
      <c r="C37" s="2"/>
      <c r="D37" s="2"/>
      <c r="R37"/>
      <c r="S37"/>
    </row>
    <row r="38" spans="3:19" ht="23.1" customHeight="1" x14ac:dyDescent="0.25">
      <c r="C38" s="2"/>
      <c r="D38" s="2"/>
      <c r="R38"/>
      <c r="S38"/>
    </row>
    <row r="39" spans="3:19" ht="23.1" customHeight="1" x14ac:dyDescent="0.25">
      <c r="C39" s="2"/>
      <c r="D39" s="2"/>
      <c r="R39"/>
      <c r="S39"/>
    </row>
    <row r="40" spans="3:19" ht="23.1" customHeight="1" x14ac:dyDescent="0.25">
      <c r="C40" s="2"/>
      <c r="D40" s="2"/>
      <c r="R40"/>
      <c r="S40"/>
    </row>
    <row r="41" spans="3:19" ht="23.1" customHeight="1" x14ac:dyDescent="0.25">
      <c r="C41" s="2"/>
      <c r="D41" s="2"/>
      <c r="R41"/>
      <c r="S41"/>
    </row>
    <row r="42" spans="3:19" ht="23.1" customHeight="1" x14ac:dyDescent="0.25">
      <c r="C42" s="2"/>
      <c r="D42" s="2"/>
      <c r="R42"/>
      <c r="S42"/>
    </row>
    <row r="43" spans="3:19" ht="23.1" customHeight="1" x14ac:dyDescent="0.25">
      <c r="C43" s="2"/>
      <c r="D43" s="2"/>
      <c r="R43"/>
      <c r="S43"/>
    </row>
    <row r="44" spans="3:19" ht="23.1" customHeight="1" x14ac:dyDescent="0.25">
      <c r="C44" s="2"/>
      <c r="D44" s="2"/>
      <c r="R44"/>
      <c r="S44"/>
    </row>
    <row r="45" spans="3:19" ht="23.1" customHeight="1" x14ac:dyDescent="0.25">
      <c r="C45" s="2"/>
      <c r="D45" s="2"/>
      <c r="R45"/>
      <c r="S45"/>
    </row>
    <row r="46" spans="3:19" ht="23.1" customHeight="1" x14ac:dyDescent="0.25">
      <c r="C46" s="2"/>
      <c r="D46" s="2"/>
      <c r="R46"/>
      <c r="S46"/>
    </row>
    <row r="47" spans="3:19" ht="23.1" customHeight="1" x14ac:dyDescent="0.25">
      <c r="C47" s="2"/>
      <c r="D47" s="2"/>
      <c r="R47"/>
      <c r="S47"/>
    </row>
    <row r="48" spans="3:19" ht="23.1" customHeight="1" x14ac:dyDescent="0.25">
      <c r="C48" s="2"/>
      <c r="D48" s="2"/>
      <c r="R48"/>
      <c r="S48"/>
    </row>
    <row r="49" spans="3:19" ht="23.1" customHeight="1" x14ac:dyDescent="0.25">
      <c r="C49" s="2"/>
      <c r="D49" s="2"/>
      <c r="R49"/>
      <c r="S49"/>
    </row>
    <row r="50" spans="3:19" ht="23.1" customHeight="1" x14ac:dyDescent="0.25">
      <c r="C50" s="2"/>
      <c r="D50" s="2"/>
      <c r="R50"/>
      <c r="S50"/>
    </row>
    <row r="51" spans="3:19" ht="23.1" customHeight="1" x14ac:dyDescent="0.25">
      <c r="C51" s="2"/>
      <c r="D51" s="2"/>
      <c r="R51"/>
      <c r="S51"/>
    </row>
    <row r="52" spans="3:19" ht="23.1" customHeight="1" x14ac:dyDescent="0.25">
      <c r="C52" s="2"/>
      <c r="D52" s="2"/>
      <c r="R52"/>
      <c r="S52"/>
    </row>
    <row r="53" spans="3:19" ht="23.1" customHeight="1" x14ac:dyDescent="0.25">
      <c r="C53" s="2"/>
      <c r="D53" s="2"/>
      <c r="R53"/>
      <c r="S53"/>
    </row>
    <row r="54" spans="3:19" ht="23.1" customHeight="1" x14ac:dyDescent="0.25">
      <c r="C54" s="2"/>
      <c r="D54" s="2"/>
      <c r="R54"/>
      <c r="S54"/>
    </row>
    <row r="55" spans="3:19" ht="23.1" customHeight="1" x14ac:dyDescent="0.25">
      <c r="C55" s="2"/>
      <c r="D55" s="2"/>
      <c r="R55"/>
      <c r="S55"/>
    </row>
    <row r="56" spans="3:19" ht="23.1" customHeight="1" x14ac:dyDescent="0.25">
      <c r="C56" s="2"/>
      <c r="D56" s="2"/>
      <c r="R56"/>
      <c r="S56"/>
    </row>
    <row r="57" spans="3:19" ht="23.1" customHeight="1" x14ac:dyDescent="0.25">
      <c r="C57" s="2"/>
      <c r="D57" s="2"/>
      <c r="R57"/>
      <c r="S57"/>
    </row>
    <row r="58" spans="3:19" ht="23.1" customHeight="1" x14ac:dyDescent="0.25">
      <c r="C58" s="2"/>
      <c r="D58" s="2"/>
      <c r="R58"/>
      <c r="S58"/>
    </row>
    <row r="59" spans="3:19" ht="23.1" customHeight="1" x14ac:dyDescent="0.25">
      <c r="C59" s="2"/>
      <c r="D59" s="2"/>
      <c r="R59"/>
      <c r="S59"/>
    </row>
    <row r="60" spans="3:19" ht="23.1" customHeight="1" x14ac:dyDescent="0.25">
      <c r="C60" s="2"/>
      <c r="D60" s="2"/>
      <c r="R60"/>
      <c r="S60"/>
    </row>
    <row r="61" spans="3:19" ht="23.1" customHeight="1" x14ac:dyDescent="0.25">
      <c r="C61" s="2"/>
      <c r="D61" s="2"/>
      <c r="R61"/>
      <c r="S61"/>
    </row>
    <row r="62" spans="3:19" ht="23.1" customHeight="1" x14ac:dyDescent="0.25">
      <c r="C62" s="2"/>
      <c r="D62" s="2"/>
      <c r="R62"/>
      <c r="S62"/>
    </row>
    <row r="63" spans="3:19" ht="23.1" customHeight="1" x14ac:dyDescent="0.25">
      <c r="C63" s="2"/>
      <c r="D63" s="2"/>
      <c r="R63"/>
      <c r="S63"/>
    </row>
    <row r="64" spans="3:19" ht="23.1" customHeight="1" x14ac:dyDescent="0.25">
      <c r="C64" s="2"/>
      <c r="D64" s="2"/>
      <c r="R64"/>
      <c r="S64"/>
    </row>
    <row r="65" spans="3:19" ht="23.1" customHeight="1" x14ac:dyDescent="0.25">
      <c r="C65" s="2"/>
      <c r="D65" s="2"/>
      <c r="R65"/>
      <c r="S65"/>
    </row>
    <row r="66" spans="3:19" ht="23.1" customHeight="1" x14ac:dyDescent="0.25">
      <c r="C66" s="2"/>
      <c r="D66" s="2"/>
      <c r="R66"/>
      <c r="S66"/>
    </row>
    <row r="67" spans="3:19" ht="23.1" customHeight="1" x14ac:dyDescent="0.25">
      <c r="C67" s="2"/>
      <c r="D67" s="2"/>
      <c r="R67"/>
      <c r="S67"/>
    </row>
    <row r="68" spans="3:19" ht="23.1" customHeight="1" x14ac:dyDescent="0.25">
      <c r="C68" s="2"/>
      <c r="D68" s="2"/>
      <c r="R68"/>
      <c r="S68"/>
    </row>
    <row r="69" spans="3:19" ht="23.1" customHeight="1" x14ac:dyDescent="0.25">
      <c r="C69" s="2"/>
      <c r="D69" s="2"/>
      <c r="R69"/>
      <c r="S69"/>
    </row>
    <row r="70" spans="3:19" ht="23.1" customHeight="1" x14ac:dyDescent="0.25">
      <c r="C70" s="2"/>
      <c r="D70" s="2"/>
      <c r="R70"/>
      <c r="S70"/>
    </row>
    <row r="71" spans="3:19" ht="23.1" customHeight="1" x14ac:dyDescent="0.25">
      <c r="C71" s="2"/>
      <c r="D71" s="2"/>
      <c r="R71"/>
      <c r="S71"/>
    </row>
    <row r="72" spans="3:19" ht="23.1" customHeight="1" x14ac:dyDescent="0.25">
      <c r="C72" s="2"/>
      <c r="D72" s="2"/>
      <c r="R72"/>
      <c r="S72"/>
    </row>
    <row r="73" spans="3:19" ht="23.1" customHeight="1" x14ac:dyDescent="0.25">
      <c r="C73" s="2"/>
      <c r="D73" s="2"/>
      <c r="R73"/>
      <c r="S73"/>
    </row>
    <row r="74" spans="3:19" ht="23.1" customHeight="1" x14ac:dyDescent="0.25">
      <c r="C74" s="2"/>
      <c r="D74" s="2"/>
      <c r="R74"/>
      <c r="S74"/>
    </row>
    <row r="75" spans="3:19" ht="23.1" customHeight="1" x14ac:dyDescent="0.25">
      <c r="C75" s="2"/>
      <c r="D75" s="2"/>
      <c r="R75"/>
      <c r="S75"/>
    </row>
    <row r="76" spans="3:19" ht="23.1" customHeight="1" x14ac:dyDescent="0.25">
      <c r="C76" s="2"/>
      <c r="D76" s="2"/>
      <c r="R76"/>
      <c r="S76"/>
    </row>
    <row r="77" spans="3:19" ht="23.1" customHeight="1" x14ac:dyDescent="0.25">
      <c r="C77" s="2"/>
      <c r="D77" s="2"/>
      <c r="R77"/>
      <c r="S77"/>
    </row>
    <row r="78" spans="3:19" ht="23.1" customHeight="1" x14ac:dyDescent="0.25">
      <c r="C78" s="2"/>
      <c r="D78" s="2"/>
      <c r="R78"/>
      <c r="S78"/>
    </row>
    <row r="79" spans="3:19" ht="23.1" customHeight="1" x14ac:dyDescent="0.25">
      <c r="C79" s="2"/>
      <c r="D79" s="2"/>
      <c r="R79"/>
      <c r="S79"/>
    </row>
    <row r="80" spans="3:19" ht="23.1" customHeight="1" x14ac:dyDescent="0.25">
      <c r="C80" s="2"/>
      <c r="D80" s="2"/>
      <c r="R80"/>
      <c r="S80"/>
    </row>
    <row r="81" spans="3:19" ht="23.1" customHeight="1" x14ac:dyDescent="0.25">
      <c r="C81" s="2"/>
      <c r="D81" s="2"/>
      <c r="R81"/>
      <c r="S81"/>
    </row>
    <row r="82" spans="3:19" ht="23.1" customHeight="1" x14ac:dyDescent="0.25">
      <c r="C82" s="2"/>
      <c r="D82" s="2"/>
      <c r="R82"/>
      <c r="S82"/>
    </row>
    <row r="83" spans="3:19" ht="23.1" customHeight="1" x14ac:dyDescent="0.25">
      <c r="C83" s="2"/>
      <c r="D83" s="2"/>
      <c r="R83"/>
      <c r="S83"/>
    </row>
    <row r="84" spans="3:19" ht="23.1" customHeight="1" x14ac:dyDescent="0.25">
      <c r="C84" s="2"/>
      <c r="D84" s="2"/>
      <c r="R84"/>
      <c r="S84"/>
    </row>
    <row r="85" spans="3:19" ht="23.1" customHeight="1" x14ac:dyDescent="0.25">
      <c r="C85" s="2"/>
      <c r="D85" s="2"/>
      <c r="R85"/>
      <c r="S85"/>
    </row>
    <row r="86" spans="3:19" ht="23.1" customHeight="1" x14ac:dyDescent="0.25">
      <c r="C86" s="13"/>
      <c r="Q86" s="2"/>
      <c r="S86"/>
    </row>
    <row r="87" spans="3:19" ht="23.1" customHeight="1" x14ac:dyDescent="0.25">
      <c r="C87" s="13"/>
      <c r="Q87" s="2"/>
      <c r="S87"/>
    </row>
    <row r="88" spans="3:19" ht="23.1" customHeight="1" x14ac:dyDescent="0.25">
      <c r="C88" s="13"/>
    </row>
    <row r="89" spans="3:19" ht="23.1" customHeight="1" x14ac:dyDescent="0.25">
      <c r="C89" s="13"/>
    </row>
    <row r="90" spans="3:19" ht="23.1" customHeight="1" x14ac:dyDescent="0.25"/>
    <row r="91" spans="3:19" ht="23.1" customHeight="1" x14ac:dyDescent="0.25"/>
    <row r="92" spans="3:19" ht="23.1" customHeight="1" x14ac:dyDescent="0.25"/>
    <row r="93" spans="3:19" ht="23.1" customHeight="1" x14ac:dyDescent="0.25"/>
    <row r="94" spans="3:19" ht="23.1" customHeight="1" x14ac:dyDescent="0.25"/>
    <row r="95" spans="3:19" ht="23.1" customHeight="1" x14ac:dyDescent="0.25"/>
    <row r="96" spans="3:19" ht="23.1" customHeight="1" x14ac:dyDescent="0.25"/>
    <row r="97" ht="23.1" customHeight="1" x14ac:dyDescent="0.25"/>
    <row r="98" ht="23.1" customHeight="1" x14ac:dyDescent="0.25"/>
    <row r="99" ht="23.1" customHeight="1" x14ac:dyDescent="0.25"/>
    <row r="100" ht="23.1" customHeight="1" x14ac:dyDescent="0.25"/>
    <row r="101" ht="23.1" customHeight="1" x14ac:dyDescent="0.25"/>
    <row r="102" ht="23.1" customHeight="1" x14ac:dyDescent="0.25"/>
    <row r="103" ht="23.1" customHeight="1" x14ac:dyDescent="0.25"/>
    <row r="104" ht="23.1" customHeight="1" x14ac:dyDescent="0.25"/>
    <row r="105" ht="23.1" customHeight="1" x14ac:dyDescent="0.25"/>
    <row r="106" ht="23.1" customHeight="1" x14ac:dyDescent="0.25"/>
    <row r="107" ht="23.1" customHeight="1" x14ac:dyDescent="0.25"/>
    <row r="108" ht="23.1" customHeight="1" x14ac:dyDescent="0.25"/>
    <row r="109" ht="23.1" customHeight="1" x14ac:dyDescent="0.25"/>
    <row r="110" ht="23.1" customHeight="1" x14ac:dyDescent="0.25"/>
    <row r="111" ht="23.1" customHeight="1" x14ac:dyDescent="0.25"/>
    <row r="112" ht="23.1" customHeight="1" x14ac:dyDescent="0.25"/>
    <row r="113" ht="23.1" customHeight="1" x14ac:dyDescent="0.25"/>
    <row r="114" ht="23.1" customHeight="1" x14ac:dyDescent="0.25"/>
    <row r="115" ht="23.1" customHeight="1" x14ac:dyDescent="0.25"/>
    <row r="116" ht="23.1" customHeight="1" x14ac:dyDescent="0.25"/>
    <row r="117" ht="23.1" customHeight="1" x14ac:dyDescent="0.25"/>
    <row r="118" ht="23.1" customHeight="1" x14ac:dyDescent="0.25"/>
    <row r="119" ht="23.1" customHeight="1" x14ac:dyDescent="0.25"/>
    <row r="120" ht="23.1" customHeight="1" x14ac:dyDescent="0.25"/>
    <row r="121" ht="23.1" customHeight="1" x14ac:dyDescent="0.25"/>
    <row r="122" ht="23.1" customHeight="1" x14ac:dyDescent="0.25"/>
    <row r="123" ht="23.1" customHeight="1" x14ac:dyDescent="0.25"/>
    <row r="124" ht="23.1" customHeight="1" x14ac:dyDescent="0.25"/>
    <row r="125" ht="23.1" customHeight="1" x14ac:dyDescent="0.25"/>
    <row r="126" ht="23.1" customHeight="1" x14ac:dyDescent="0.25"/>
    <row r="127" ht="23.1" customHeight="1" x14ac:dyDescent="0.25"/>
    <row r="128" ht="23.1" customHeight="1" x14ac:dyDescent="0.25"/>
    <row r="129" ht="23.1" customHeight="1" x14ac:dyDescent="0.25"/>
    <row r="130" ht="23.1" customHeight="1" x14ac:dyDescent="0.25"/>
    <row r="131" ht="23.1" customHeight="1" x14ac:dyDescent="0.25"/>
    <row r="132" ht="23.1" customHeight="1" x14ac:dyDescent="0.25"/>
    <row r="133" ht="23.1" customHeight="1" x14ac:dyDescent="0.25"/>
    <row r="134" ht="23.1" customHeight="1" x14ac:dyDescent="0.25"/>
    <row r="135" ht="23.1" customHeight="1" x14ac:dyDescent="0.25"/>
    <row r="136" ht="23.1" customHeight="1" x14ac:dyDescent="0.25"/>
    <row r="137" ht="23.1" customHeight="1" x14ac:dyDescent="0.25"/>
    <row r="138" ht="23.1" customHeight="1" x14ac:dyDescent="0.25"/>
    <row r="139" ht="23.1" customHeight="1" x14ac:dyDescent="0.25"/>
    <row r="140" ht="23.1" customHeight="1" x14ac:dyDescent="0.25"/>
    <row r="141" ht="23.1" customHeight="1" x14ac:dyDescent="0.25"/>
    <row r="142" ht="23.1" customHeight="1" x14ac:dyDescent="0.25"/>
    <row r="143" ht="23.1" customHeight="1" x14ac:dyDescent="0.25"/>
    <row r="144" ht="23.1" customHeight="1" x14ac:dyDescent="0.25"/>
    <row r="145" ht="23.1" customHeight="1" x14ac:dyDescent="0.25"/>
    <row r="146" ht="23.1" customHeight="1" x14ac:dyDescent="0.25"/>
    <row r="147" ht="23.1" customHeight="1" x14ac:dyDescent="0.25"/>
    <row r="148" ht="23.1" customHeight="1" x14ac:dyDescent="0.25"/>
    <row r="149" ht="23.1" customHeight="1" x14ac:dyDescent="0.25"/>
    <row r="150" ht="23.1" customHeight="1" x14ac:dyDescent="0.25"/>
    <row r="151" ht="23.1" customHeight="1" x14ac:dyDescent="0.25"/>
  </sheetData>
  <mergeCells count="10">
    <mergeCell ref="B1:P1"/>
    <mergeCell ref="B2:P2"/>
    <mergeCell ref="C8:P8"/>
    <mergeCell ref="D5:E5"/>
    <mergeCell ref="C3:F3"/>
    <mergeCell ref="G5:H5"/>
    <mergeCell ref="K5:L5"/>
    <mergeCell ref="D6:E6"/>
    <mergeCell ref="G6:H6"/>
    <mergeCell ref="K6:L6"/>
  </mergeCells>
  <phoneticPr fontId="12" type="noConversion"/>
  <pageMargins left="0" right="0" top="0" bottom="0" header="0.15748031496063" footer="0.118110236220472"/>
  <pageSetup paperSize="9" scale="4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2" tint="-0.249977111117893"/>
  </sheetPr>
  <dimension ref="B1:AD151"/>
  <sheetViews>
    <sheetView view="pageBreakPreview" zoomScale="60" workbookViewId="0">
      <selection activeCell="D10" sqref="D10"/>
    </sheetView>
  </sheetViews>
  <sheetFormatPr defaultColWidth="15" defaultRowHeight="20.100000000000001" customHeight="1" x14ac:dyDescent="0.25"/>
  <cols>
    <col min="1" max="1" width="4.85546875" customWidth="1"/>
    <col min="2" max="2" width="19.570312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5.7109375" customWidth="1"/>
    <col min="10" max="10" width="18.42578125" customWidth="1"/>
    <col min="11" max="11" width="20.42578125" customWidth="1"/>
    <col min="12" max="12" width="19.28515625" customWidth="1"/>
    <col min="13" max="13" width="14.5703125" customWidth="1"/>
    <col min="14" max="14" width="16.28515625" customWidth="1"/>
    <col min="15" max="15" width="14.85546875" customWidth="1"/>
    <col min="16" max="16" width="14.28515625" customWidth="1"/>
    <col min="17" max="17" width="14.7109375" customWidth="1"/>
    <col min="18" max="19" width="10.7109375" style="2" customWidth="1"/>
    <col min="20" max="32" width="10.7109375" customWidth="1"/>
  </cols>
  <sheetData>
    <row r="1" spans="2:30" ht="23.25" customHeight="1" x14ac:dyDescent="0.3">
      <c r="B1" s="32" t="s">
        <v>0</v>
      </c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</row>
    <row r="2" spans="2:30" ht="20.100000000000001" customHeight="1" x14ac:dyDescent="0.25">
      <c r="B2" s="33" t="s">
        <v>28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</row>
    <row r="3" spans="2:30" ht="20.100000000000001" customHeight="1" x14ac:dyDescent="0.25">
      <c r="B3" s="1" t="s">
        <v>1</v>
      </c>
      <c r="C3" s="36" t="s">
        <v>29</v>
      </c>
      <c r="D3" s="36"/>
      <c r="E3" s="36"/>
      <c r="F3" s="36"/>
      <c r="G3" s="15"/>
      <c r="H3" s="15"/>
      <c r="I3" s="15"/>
      <c r="J3" s="15"/>
      <c r="K3" s="1"/>
      <c r="L3" s="1"/>
      <c r="M3" s="1"/>
      <c r="N3" s="1"/>
      <c r="O3" s="1"/>
      <c r="P3" s="1"/>
    </row>
    <row r="4" spans="2:30" ht="20.10000000000000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30" ht="20.100000000000001" customHeight="1" x14ac:dyDescent="0.25">
      <c r="C5" s="3" t="s">
        <v>2</v>
      </c>
      <c r="D5" s="35" t="s">
        <v>13</v>
      </c>
      <c r="E5" s="35"/>
      <c r="F5" s="4" t="s">
        <v>3</v>
      </c>
      <c r="G5" s="37"/>
      <c r="H5" s="38"/>
      <c r="I5" s="5"/>
      <c r="J5" s="3" t="s">
        <v>4</v>
      </c>
      <c r="K5" s="37" t="s">
        <v>15</v>
      </c>
      <c r="L5" s="38"/>
      <c r="M5" s="2"/>
      <c r="N5" s="2"/>
    </row>
    <row r="6" spans="2:30" ht="23.25" customHeight="1" x14ac:dyDescent="0.25">
      <c r="C6" s="3" t="s">
        <v>5</v>
      </c>
      <c r="D6" s="39" t="s">
        <v>17</v>
      </c>
      <c r="E6" s="40"/>
      <c r="F6" s="3" t="s">
        <v>6</v>
      </c>
      <c r="G6" s="39" t="s">
        <v>16</v>
      </c>
      <c r="H6" s="40"/>
      <c r="J6" s="3" t="s">
        <v>7</v>
      </c>
      <c r="K6" s="39" t="s">
        <v>14</v>
      </c>
      <c r="L6" s="40"/>
      <c r="M6" s="2"/>
      <c r="N6" s="2"/>
    </row>
    <row r="7" spans="2:30" ht="20.100000000000001" customHeight="1" x14ac:dyDescent="0.25">
      <c r="D7" s="2"/>
      <c r="E7" s="2"/>
      <c r="R7"/>
      <c r="S7"/>
    </row>
    <row r="8" spans="2:30" ht="50.25" customHeight="1" x14ac:dyDescent="0.25">
      <c r="C8" s="34" t="s">
        <v>30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R8"/>
      <c r="S8"/>
    </row>
    <row r="9" spans="2:30" ht="45" customHeight="1" x14ac:dyDescent="0.25">
      <c r="B9" s="14" t="s">
        <v>8</v>
      </c>
      <c r="C9" s="24" t="s">
        <v>18</v>
      </c>
      <c r="D9" s="24" t="s">
        <v>33</v>
      </c>
      <c r="E9" s="24" t="s">
        <v>34</v>
      </c>
      <c r="F9" s="24" t="s">
        <v>35</v>
      </c>
      <c r="G9" s="24" t="s">
        <v>44</v>
      </c>
      <c r="H9" s="24" t="s">
        <v>37</v>
      </c>
      <c r="I9" s="24" t="s">
        <v>38</v>
      </c>
      <c r="J9" s="24" t="s">
        <v>39</v>
      </c>
      <c r="K9" s="24" t="s">
        <v>40</v>
      </c>
      <c r="L9" s="24" t="s">
        <v>41</v>
      </c>
      <c r="M9" s="24" t="s">
        <v>42</v>
      </c>
      <c r="N9" s="24" t="s">
        <v>43</v>
      </c>
      <c r="O9" s="7" t="s">
        <v>10</v>
      </c>
      <c r="P9" s="7" t="s">
        <v>27</v>
      </c>
      <c r="R9"/>
      <c r="S9"/>
    </row>
    <row r="10" spans="2:30" ht="23.1" customHeight="1" x14ac:dyDescent="0.25">
      <c r="B10" s="6" t="s">
        <v>19</v>
      </c>
      <c r="C10" s="6">
        <v>2689</v>
      </c>
      <c r="D10" s="8">
        <f>$O10*D$20</f>
        <v>3561.5317772559742</v>
      </c>
      <c r="E10" s="8">
        <f t="shared" ref="E10:N16" si="0">$O10*E$20</f>
        <v>551.13228730931303</v>
      </c>
      <c r="F10" s="8">
        <f t="shared" si="0"/>
        <v>503.40920895081388</v>
      </c>
      <c r="G10" s="8">
        <f t="shared" si="0"/>
        <v>1455.959942152487</v>
      </c>
      <c r="H10" s="8">
        <f t="shared" si="0"/>
        <v>93.081499681216656</v>
      </c>
      <c r="I10" s="8">
        <f t="shared" si="0"/>
        <v>31.09882283421711</v>
      </c>
      <c r="J10" s="8">
        <f t="shared" si="0"/>
        <v>563.50493725410911</v>
      </c>
      <c r="K10" s="8">
        <f t="shared" si="0"/>
        <v>465.09698788623308</v>
      </c>
      <c r="L10" s="8">
        <f t="shared" si="0"/>
        <v>206.20287060506632</v>
      </c>
      <c r="M10" s="8">
        <f t="shared" si="0"/>
        <v>248.62338470150993</v>
      </c>
      <c r="N10" s="8">
        <f t="shared" si="0"/>
        <v>0.35828136905780078</v>
      </c>
      <c r="O10" s="9">
        <v>7680</v>
      </c>
      <c r="P10" s="9">
        <f>SUM(C10:N10)</f>
        <v>10368.999999999996</v>
      </c>
      <c r="R10"/>
      <c r="S10"/>
    </row>
    <row r="11" spans="2:30" s="10" customFormat="1" ht="23.1" customHeight="1" x14ac:dyDescent="0.25">
      <c r="B11" s="6" t="s">
        <v>23</v>
      </c>
      <c r="C11" s="6">
        <v>8961</v>
      </c>
      <c r="D11" s="8">
        <f t="shared" ref="D11:D16" si="1">$O11*D$20</f>
        <v>7493.5927068592819</v>
      </c>
      <c r="E11" s="8">
        <f t="shared" si="0"/>
        <v>1159.6024258634361</v>
      </c>
      <c r="F11" s="8">
        <f t="shared" si="0"/>
        <v>1059.1913290932555</v>
      </c>
      <c r="G11" s="8">
        <f t="shared" si="0"/>
        <v>3063.3928001617232</v>
      </c>
      <c r="H11" s="8">
        <f t="shared" si="0"/>
        <v>195.8468689256224</v>
      </c>
      <c r="I11" s="8">
        <f t="shared" si="0"/>
        <v>65.43305705444196</v>
      </c>
      <c r="J11" s="8">
        <f t="shared" si="0"/>
        <v>1185.6349324334828</v>
      </c>
      <c r="K11" s="8">
        <f t="shared" si="0"/>
        <v>978.58101917365104</v>
      </c>
      <c r="L11" s="8">
        <f t="shared" si="0"/>
        <v>433.8583575660503</v>
      </c>
      <c r="M11" s="8">
        <f t="shared" si="0"/>
        <v>523.11266580621077</v>
      </c>
      <c r="N11" s="8">
        <f t="shared" si="0"/>
        <v>0.75383706283919305</v>
      </c>
      <c r="O11" s="9">
        <v>16159</v>
      </c>
      <c r="P11" s="9">
        <f t="shared" ref="P11:P16" si="2">SUM(C11:N11)</f>
        <v>25119.999999999996</v>
      </c>
    </row>
    <row r="12" spans="2:30" ht="23.1" customHeight="1" x14ac:dyDescent="0.25">
      <c r="B12" s="6" t="s">
        <v>24</v>
      </c>
      <c r="C12" s="6">
        <v>9009</v>
      </c>
      <c r="D12" s="8">
        <f t="shared" si="1"/>
        <v>7742.1579454802722</v>
      </c>
      <c r="E12" s="8">
        <f t="shared" si="0"/>
        <v>1198.0668667485652</v>
      </c>
      <c r="F12" s="8">
        <f t="shared" si="0"/>
        <v>1094.325096801281</v>
      </c>
      <c r="G12" s="8">
        <f t="shared" si="0"/>
        <v>3165.006671124449</v>
      </c>
      <c r="H12" s="8">
        <f t="shared" si="0"/>
        <v>202.3431819242073</v>
      </c>
      <c r="I12" s="8">
        <f t="shared" si="0"/>
        <v>67.603495731413361</v>
      </c>
      <c r="J12" s="8">
        <f t="shared" si="0"/>
        <v>1224.9628811793425</v>
      </c>
      <c r="K12" s="8">
        <f t="shared" si="0"/>
        <v>1011.0409131198777</v>
      </c>
      <c r="L12" s="8">
        <f t="shared" si="0"/>
        <v>448.2495995770289</v>
      </c>
      <c r="M12" s="8">
        <f t="shared" si="0"/>
        <v>540.46450619683696</v>
      </c>
      <c r="N12" s="8">
        <f t="shared" si="0"/>
        <v>0.77884211672135206</v>
      </c>
      <c r="O12" s="9">
        <v>16695</v>
      </c>
      <c r="P12" s="9">
        <f t="shared" si="2"/>
        <v>25703.999999999996</v>
      </c>
      <c r="R12"/>
      <c r="S12"/>
    </row>
    <row r="13" spans="2:30" ht="23.1" customHeight="1" x14ac:dyDescent="0.25">
      <c r="B13" s="6" t="s">
        <v>20</v>
      </c>
      <c r="C13" s="6">
        <v>9022</v>
      </c>
      <c r="D13" s="8">
        <f t="shared" si="1"/>
        <v>7841.862285598766</v>
      </c>
      <c r="E13" s="8">
        <f t="shared" si="0"/>
        <v>1213.4957003125628</v>
      </c>
      <c r="F13" s="8">
        <f t="shared" si="0"/>
        <v>1108.4179327289405</v>
      </c>
      <c r="G13" s="8">
        <f t="shared" si="0"/>
        <v>3205.76596638002</v>
      </c>
      <c r="H13" s="8">
        <f t="shared" si="0"/>
        <v>204.94897911580387</v>
      </c>
      <c r="I13" s="8">
        <f t="shared" si="0"/>
        <v>68.474100797735844</v>
      </c>
      <c r="J13" s="8">
        <f t="shared" si="0"/>
        <v>1240.7380845009095</v>
      </c>
      <c r="K13" s="8">
        <f t="shared" si="0"/>
        <v>1024.061206400547</v>
      </c>
      <c r="L13" s="8">
        <f t="shared" si="0"/>
        <v>454.02220598068635</v>
      </c>
      <c r="M13" s="8">
        <f t="shared" si="0"/>
        <v>547.42466605501727</v>
      </c>
      <c r="N13" s="8">
        <f t="shared" si="0"/>
        <v>0.78887212900617332</v>
      </c>
      <c r="O13" s="9">
        <v>16910</v>
      </c>
      <c r="P13" s="9">
        <f t="shared" si="2"/>
        <v>25932</v>
      </c>
      <c r="R13"/>
      <c r="S13"/>
    </row>
    <row r="14" spans="2:30" ht="23.1" customHeight="1" x14ac:dyDescent="0.25">
      <c r="B14" s="6" t="s">
        <v>21</v>
      </c>
      <c r="C14" s="6">
        <v>9510</v>
      </c>
      <c r="D14" s="8">
        <f t="shared" si="1"/>
        <v>8708.1306918375885</v>
      </c>
      <c r="E14" s="8">
        <f t="shared" si="0"/>
        <v>1347.5471472779011</v>
      </c>
      <c r="F14" s="8">
        <f t="shared" si="0"/>
        <v>1230.8617351143728</v>
      </c>
      <c r="G14" s="8">
        <f t="shared" si="0"/>
        <v>3559.8978898098176</v>
      </c>
      <c r="H14" s="8">
        <f t="shared" si="0"/>
        <v>227.58911471534978</v>
      </c>
      <c r="I14" s="8">
        <f t="shared" si="0"/>
        <v>76.038241560016772</v>
      </c>
      <c r="J14" s="8">
        <f t="shared" si="0"/>
        <v>1377.7989208017786</v>
      </c>
      <c r="K14" s="8">
        <f t="shared" si="0"/>
        <v>1137.1863591832923</v>
      </c>
      <c r="L14" s="8">
        <f t="shared" si="0"/>
        <v>504.17675836223117</v>
      </c>
      <c r="M14" s="8">
        <f t="shared" si="0"/>
        <v>607.89712472981171</v>
      </c>
      <c r="N14" s="8">
        <f t="shared" si="0"/>
        <v>0.87601660783429469</v>
      </c>
      <c r="O14" s="9">
        <v>18778</v>
      </c>
      <c r="P14" s="9">
        <f t="shared" si="2"/>
        <v>28287.999999999996</v>
      </c>
      <c r="R14"/>
      <c r="S14"/>
    </row>
    <row r="15" spans="2:30" ht="23.1" customHeight="1" x14ac:dyDescent="0.25">
      <c r="B15" s="6" t="s">
        <v>22</v>
      </c>
      <c r="C15" s="6">
        <v>9889</v>
      </c>
      <c r="D15" s="8">
        <f t="shared" si="1"/>
        <v>9063.8201284463557</v>
      </c>
      <c r="E15" s="8">
        <f t="shared" si="0"/>
        <v>1402.5886139922557</v>
      </c>
      <c r="F15" s="8">
        <f t="shared" si="0"/>
        <v>1281.1371079353721</v>
      </c>
      <c r="G15" s="8">
        <f t="shared" si="0"/>
        <v>3705.3043059075985</v>
      </c>
      <c r="H15" s="8">
        <f t="shared" si="0"/>
        <v>236.88514469653379</v>
      </c>
      <c r="I15" s="8">
        <f t="shared" si="0"/>
        <v>79.144074517548617</v>
      </c>
      <c r="J15" s="8">
        <f t="shared" si="0"/>
        <v>1434.0760414884846</v>
      </c>
      <c r="K15" s="8">
        <f t="shared" si="0"/>
        <v>1183.6354984682846</v>
      </c>
      <c r="L15" s="8">
        <f t="shared" si="0"/>
        <v>524.77019609062779</v>
      </c>
      <c r="M15" s="8">
        <f t="shared" si="0"/>
        <v>632.72709036341291</v>
      </c>
      <c r="N15" s="8">
        <f t="shared" si="0"/>
        <v>0.9117980935201454</v>
      </c>
      <c r="O15" s="9">
        <v>19545</v>
      </c>
      <c r="P15" s="9">
        <f t="shared" si="2"/>
        <v>29433.999999999996</v>
      </c>
      <c r="R15"/>
      <c r="S15"/>
    </row>
    <row r="16" spans="2:30" ht="23.1" customHeight="1" x14ac:dyDescent="0.25">
      <c r="B16" s="6" t="s">
        <v>25</v>
      </c>
      <c r="C16" s="22">
        <v>8180</v>
      </c>
      <c r="D16" s="8">
        <f t="shared" si="1"/>
        <v>7399.9170012595805</v>
      </c>
      <c r="E16" s="8">
        <f t="shared" si="0"/>
        <v>1145.106498514936</v>
      </c>
      <c r="F16" s="8">
        <f t="shared" si="0"/>
        <v>1045.9506181286638</v>
      </c>
      <c r="G16" s="8">
        <f t="shared" si="0"/>
        <v>3025.0980204332336</v>
      </c>
      <c r="H16" s="8">
        <f t="shared" si="0"/>
        <v>193.39863156421538</v>
      </c>
      <c r="I16" s="8">
        <f t="shared" si="0"/>
        <v>64.615093224687811</v>
      </c>
      <c r="J16" s="8">
        <f t="shared" si="0"/>
        <v>1170.8135786150806</v>
      </c>
      <c r="K16" s="8">
        <f t="shared" si="0"/>
        <v>966.34799944018505</v>
      </c>
      <c r="L16" s="8">
        <f t="shared" si="0"/>
        <v>428.43479247982333</v>
      </c>
      <c r="M16" s="8">
        <f t="shared" si="0"/>
        <v>516.57335282317626</v>
      </c>
      <c r="N16" s="8">
        <f t="shared" si="0"/>
        <v>0.7444135164134541</v>
      </c>
      <c r="O16" s="9">
        <v>15957</v>
      </c>
      <c r="P16" s="9">
        <f t="shared" si="2"/>
        <v>24137</v>
      </c>
      <c r="R16"/>
      <c r="S16"/>
    </row>
    <row r="17" spans="2:19" ht="20.25" customHeight="1" x14ac:dyDescent="0.25">
      <c r="B17" s="29" t="s">
        <v>26</v>
      </c>
      <c r="C17" s="11">
        <f>AVERAGE(C10:C16)</f>
        <v>8180</v>
      </c>
      <c r="D17" s="11">
        <f t="shared" ref="D17:N17" si="3">AVERAGE(D10:D16)</f>
        <v>7401.5732195339742</v>
      </c>
      <c r="E17" s="11">
        <f t="shared" si="3"/>
        <v>1145.3627914312815</v>
      </c>
      <c r="F17" s="11">
        <f t="shared" si="3"/>
        <v>1046.1847183932427</v>
      </c>
      <c r="G17" s="11">
        <f t="shared" si="3"/>
        <v>3025.7750851384758</v>
      </c>
      <c r="H17" s="11">
        <f t="shared" si="3"/>
        <v>193.44191723184989</v>
      </c>
      <c r="I17" s="11">
        <f t="shared" si="3"/>
        <v>64.629555102865922</v>
      </c>
      <c r="J17" s="11">
        <f t="shared" si="3"/>
        <v>1171.0756251818841</v>
      </c>
      <c r="K17" s="11">
        <f t="shared" si="3"/>
        <v>966.56428338172452</v>
      </c>
      <c r="L17" s="11">
        <f t="shared" si="3"/>
        <v>428.53068295164491</v>
      </c>
      <c r="M17" s="11">
        <f t="shared" si="3"/>
        <v>516.68897009656791</v>
      </c>
      <c r="N17" s="11">
        <f t="shared" si="3"/>
        <v>0.74458012791320194</v>
      </c>
      <c r="O17" s="23">
        <f>AVERAGE(O10:O16)</f>
        <v>15960.571428571429</v>
      </c>
      <c r="P17" s="23">
        <f>AVERAGE(P10:P16)</f>
        <v>24140.571428571424</v>
      </c>
      <c r="R17"/>
      <c r="S17"/>
    </row>
    <row r="18" spans="2:19" ht="23.1" customHeight="1" x14ac:dyDescent="0.25">
      <c r="B18" s="18" t="s">
        <v>11</v>
      </c>
      <c r="C18" s="17">
        <f>C$17/P$17</f>
        <v>0.33884864839274731</v>
      </c>
      <c r="D18" s="17">
        <f>D17/$P$17</f>
        <v>0.30660306618814698</v>
      </c>
      <c r="E18" s="17">
        <f>E17/$P$17</f>
        <v>4.7445554253769423E-2</v>
      </c>
      <c r="F18" s="17">
        <f t="shared" ref="F18:N18" si="4">F17/$P$17</f>
        <v>4.3337197774657367E-2</v>
      </c>
      <c r="G18" s="17">
        <f t="shared" si="4"/>
        <v>0.12533982859897586</v>
      </c>
      <c r="H18" s="17">
        <f t="shared" si="4"/>
        <v>8.0131457452951131E-3</v>
      </c>
      <c r="I18" s="17">
        <f t="shared" si="4"/>
        <v>2.6772172851871274E-3</v>
      </c>
      <c r="J18" s="17">
        <f t="shared" si="4"/>
        <v>4.851068371131699E-2</v>
      </c>
      <c r="K18" s="17">
        <f t="shared" si="4"/>
        <v>4.0038997678313169E-2</v>
      </c>
      <c r="L18" s="17">
        <f t="shared" si="4"/>
        <v>1.7751472214301442E-2</v>
      </c>
      <c r="M18" s="17">
        <f t="shared" si="4"/>
        <v>2.140334464017881E-2</v>
      </c>
      <c r="N18" s="17">
        <f t="shared" si="4"/>
        <v>3.0843517110450782E-5</v>
      </c>
      <c r="O18" s="23"/>
      <c r="P18" s="23"/>
      <c r="R18"/>
      <c r="S18"/>
    </row>
    <row r="19" spans="2:19" ht="23.1" customHeight="1" x14ac:dyDescent="0.25">
      <c r="B19" s="19" t="s">
        <v>12</v>
      </c>
      <c r="C19" s="17"/>
      <c r="D19" s="17">
        <f t="shared" ref="D19:N19" si="5">D$17/$O$17</f>
        <v>0.46374111683020497</v>
      </c>
      <c r="E19" s="17">
        <f t="shared" si="5"/>
        <v>7.1762016576733464E-2</v>
      </c>
      <c r="F19" s="17">
        <f t="shared" si="5"/>
        <v>6.5548074082137225E-2</v>
      </c>
      <c r="G19" s="17">
        <f t="shared" si="5"/>
        <v>0.18957811746777173</v>
      </c>
      <c r="H19" s="17">
        <f t="shared" si="5"/>
        <v>1.2119986937658419E-2</v>
      </c>
      <c r="I19" s="17">
        <f t="shared" si="5"/>
        <v>4.0493258898720184E-3</v>
      </c>
      <c r="J19" s="17">
        <f t="shared" si="5"/>
        <v>7.3373038704962118E-2</v>
      </c>
      <c r="K19" s="17">
        <f t="shared" si="5"/>
        <v>6.0559503631019938E-2</v>
      </c>
      <c r="L19" s="17">
        <f t="shared" si="5"/>
        <v>2.6849332110034676E-2</v>
      </c>
      <c r="M19" s="17">
        <f t="shared" si="5"/>
        <v>3.2372836549675765E-2</v>
      </c>
      <c r="N19" s="17">
        <f t="shared" si="5"/>
        <v>4.6651219929401145E-5</v>
      </c>
      <c r="O19" s="12"/>
      <c r="P19" s="12"/>
      <c r="R19"/>
      <c r="S19"/>
    </row>
    <row r="20" spans="2:19" ht="23.1" customHeight="1" x14ac:dyDescent="0.25">
      <c r="D20" s="25">
        <v>0.46374111683020497</v>
      </c>
      <c r="E20" s="25">
        <v>7.1762016576733464E-2</v>
      </c>
      <c r="F20" s="26">
        <v>6.5548074082137225E-2</v>
      </c>
      <c r="G20" s="26">
        <v>0.18957811746777173</v>
      </c>
      <c r="H20" s="26">
        <v>1.2119986937658419E-2</v>
      </c>
      <c r="I20" s="26">
        <v>4.0493258898720193E-3</v>
      </c>
      <c r="J20" s="26">
        <v>7.3373038704962118E-2</v>
      </c>
      <c r="K20" s="26">
        <v>6.0559503631019931E-2</v>
      </c>
      <c r="L20" s="26">
        <v>2.6849332110034676E-2</v>
      </c>
      <c r="M20" s="26">
        <v>3.2372836549675772E-2</v>
      </c>
      <c r="N20" s="26">
        <v>4.6651219929401145E-5</v>
      </c>
      <c r="R20"/>
      <c r="S20"/>
    </row>
    <row r="21" spans="2:19" ht="23.1" customHeight="1" x14ac:dyDescent="0.25">
      <c r="D21" s="2"/>
      <c r="E21" s="2"/>
      <c r="R21"/>
      <c r="S21"/>
    </row>
    <row r="22" spans="2:19" ht="23.1" customHeight="1" x14ac:dyDescent="0.25">
      <c r="D22" s="2"/>
      <c r="E22" s="2"/>
      <c r="R22"/>
      <c r="S22"/>
    </row>
    <row r="23" spans="2:19" ht="23.1" customHeight="1" x14ac:dyDescent="0.25">
      <c r="C23" s="2"/>
      <c r="D23" s="2"/>
      <c r="R23"/>
      <c r="S23"/>
    </row>
    <row r="24" spans="2:19" ht="23.1" customHeight="1" x14ac:dyDescent="0.25">
      <c r="C24" s="2"/>
      <c r="D24" s="2"/>
      <c r="R24"/>
      <c r="S24"/>
    </row>
    <row r="25" spans="2:19" ht="23.1" customHeight="1" x14ac:dyDescent="0.25">
      <c r="C25" s="2"/>
      <c r="D25" s="2"/>
      <c r="R25"/>
      <c r="S25"/>
    </row>
    <row r="26" spans="2:19" ht="23.1" customHeight="1" x14ac:dyDescent="0.25">
      <c r="C26" s="2"/>
      <c r="D26" s="2"/>
      <c r="R26"/>
      <c r="S26"/>
    </row>
    <row r="27" spans="2:19" ht="23.1" customHeight="1" x14ac:dyDescent="0.25">
      <c r="C27" s="2"/>
      <c r="D27" s="2"/>
      <c r="R27"/>
      <c r="S27"/>
    </row>
    <row r="28" spans="2:19" ht="23.1" customHeight="1" x14ac:dyDescent="0.25">
      <c r="C28" s="2"/>
      <c r="D28" s="2"/>
      <c r="R28"/>
      <c r="S28"/>
    </row>
    <row r="29" spans="2:19" ht="23.1" customHeight="1" x14ac:dyDescent="0.25">
      <c r="C29" s="2"/>
      <c r="D29" s="2"/>
      <c r="R29"/>
      <c r="S29"/>
    </row>
    <row r="30" spans="2:19" ht="23.1" customHeight="1" x14ac:dyDescent="0.25">
      <c r="C30" s="2"/>
      <c r="D30" s="2"/>
      <c r="R30"/>
      <c r="S30"/>
    </row>
    <row r="31" spans="2:19" ht="23.1" customHeight="1" x14ac:dyDescent="0.25">
      <c r="C31" s="2"/>
      <c r="D31" s="2"/>
      <c r="R31"/>
      <c r="S31"/>
    </row>
    <row r="32" spans="2:19" ht="23.1" customHeight="1" x14ac:dyDescent="0.25">
      <c r="C32" s="2"/>
      <c r="D32" s="2"/>
      <c r="R32"/>
      <c r="S32"/>
    </row>
    <row r="33" spans="3:19" ht="23.1" customHeight="1" x14ac:dyDescent="0.25">
      <c r="C33" s="2"/>
      <c r="D33" s="2"/>
      <c r="R33"/>
      <c r="S33"/>
    </row>
    <row r="34" spans="3:19" ht="23.1" customHeight="1" x14ac:dyDescent="0.25">
      <c r="C34" s="2"/>
      <c r="D34" s="2"/>
      <c r="R34"/>
      <c r="S34"/>
    </row>
    <row r="35" spans="3:19" ht="23.1" customHeight="1" x14ac:dyDescent="0.25">
      <c r="C35" s="2"/>
      <c r="D35" s="2"/>
      <c r="R35"/>
      <c r="S35"/>
    </row>
    <row r="36" spans="3:19" ht="23.1" customHeight="1" x14ac:dyDescent="0.25">
      <c r="C36" s="2"/>
      <c r="D36" s="2"/>
      <c r="R36"/>
      <c r="S36"/>
    </row>
    <row r="37" spans="3:19" ht="23.1" customHeight="1" x14ac:dyDescent="0.25">
      <c r="C37" s="2"/>
      <c r="D37" s="2"/>
      <c r="R37"/>
      <c r="S37"/>
    </row>
    <row r="38" spans="3:19" ht="23.1" customHeight="1" x14ac:dyDescent="0.25">
      <c r="C38" s="2"/>
      <c r="D38" s="2"/>
      <c r="R38"/>
      <c r="S38"/>
    </row>
    <row r="39" spans="3:19" ht="23.1" customHeight="1" x14ac:dyDescent="0.25">
      <c r="C39" s="2"/>
      <c r="D39" s="2"/>
      <c r="R39"/>
      <c r="S39"/>
    </row>
    <row r="40" spans="3:19" ht="23.1" customHeight="1" x14ac:dyDescent="0.25">
      <c r="C40" s="2"/>
      <c r="D40" s="2"/>
      <c r="R40"/>
      <c r="S40"/>
    </row>
    <row r="41" spans="3:19" ht="23.1" customHeight="1" x14ac:dyDescent="0.25">
      <c r="C41" s="2"/>
      <c r="D41" s="2"/>
      <c r="R41"/>
      <c r="S41"/>
    </row>
    <row r="42" spans="3:19" ht="23.1" customHeight="1" x14ac:dyDescent="0.25">
      <c r="C42" s="2"/>
      <c r="D42" s="2"/>
      <c r="R42"/>
      <c r="S42"/>
    </row>
    <row r="43" spans="3:19" ht="23.1" customHeight="1" x14ac:dyDescent="0.25">
      <c r="C43" s="2"/>
      <c r="D43" s="2"/>
      <c r="R43"/>
      <c r="S43"/>
    </row>
    <row r="44" spans="3:19" ht="23.1" customHeight="1" x14ac:dyDescent="0.25">
      <c r="C44" s="2"/>
      <c r="D44" s="2"/>
      <c r="R44"/>
      <c r="S44"/>
    </row>
    <row r="45" spans="3:19" ht="23.1" customHeight="1" x14ac:dyDescent="0.25">
      <c r="C45" s="2"/>
      <c r="D45" s="2"/>
      <c r="R45"/>
      <c r="S45"/>
    </row>
    <row r="46" spans="3:19" ht="23.1" customHeight="1" x14ac:dyDescent="0.25">
      <c r="C46" s="2"/>
      <c r="D46" s="2"/>
      <c r="R46"/>
      <c r="S46"/>
    </row>
    <row r="47" spans="3:19" ht="23.1" customHeight="1" x14ac:dyDescent="0.25">
      <c r="C47" s="2"/>
      <c r="D47" s="2"/>
      <c r="R47"/>
      <c r="S47"/>
    </row>
    <row r="48" spans="3:19" ht="23.1" customHeight="1" x14ac:dyDescent="0.25">
      <c r="C48" s="2"/>
      <c r="D48" s="2"/>
      <c r="R48"/>
      <c r="S48"/>
    </row>
    <row r="49" spans="3:19" ht="23.1" customHeight="1" x14ac:dyDescent="0.25">
      <c r="C49" s="2"/>
      <c r="D49" s="2"/>
      <c r="R49"/>
      <c r="S49"/>
    </row>
    <row r="50" spans="3:19" ht="23.1" customHeight="1" x14ac:dyDescent="0.25">
      <c r="C50" s="2"/>
      <c r="D50" s="2"/>
      <c r="R50"/>
      <c r="S50"/>
    </row>
    <row r="51" spans="3:19" ht="23.1" customHeight="1" x14ac:dyDescent="0.25">
      <c r="C51" s="2"/>
      <c r="D51" s="2"/>
      <c r="R51"/>
      <c r="S51"/>
    </row>
    <row r="52" spans="3:19" ht="23.1" customHeight="1" x14ac:dyDescent="0.25">
      <c r="C52" s="2"/>
      <c r="D52" s="2"/>
      <c r="R52"/>
      <c r="S52"/>
    </row>
    <row r="53" spans="3:19" ht="23.1" customHeight="1" x14ac:dyDescent="0.25">
      <c r="C53" s="2"/>
      <c r="D53" s="2"/>
      <c r="R53"/>
      <c r="S53"/>
    </row>
    <row r="54" spans="3:19" ht="23.1" customHeight="1" x14ac:dyDescent="0.25">
      <c r="C54" s="2"/>
      <c r="D54" s="2"/>
      <c r="R54"/>
      <c r="S54"/>
    </row>
    <row r="55" spans="3:19" ht="23.1" customHeight="1" x14ac:dyDescent="0.25">
      <c r="C55" s="2"/>
      <c r="D55" s="2"/>
      <c r="R55"/>
      <c r="S55"/>
    </row>
    <row r="56" spans="3:19" ht="23.1" customHeight="1" x14ac:dyDescent="0.25">
      <c r="C56" s="2"/>
      <c r="D56" s="2"/>
      <c r="R56"/>
      <c r="S56"/>
    </row>
    <row r="57" spans="3:19" ht="23.1" customHeight="1" x14ac:dyDescent="0.25">
      <c r="C57" s="2"/>
      <c r="D57" s="2"/>
      <c r="R57"/>
      <c r="S57"/>
    </row>
    <row r="58" spans="3:19" ht="23.1" customHeight="1" x14ac:dyDescent="0.25">
      <c r="C58" s="2"/>
      <c r="D58" s="2"/>
      <c r="R58"/>
      <c r="S58"/>
    </row>
    <row r="59" spans="3:19" ht="23.1" customHeight="1" x14ac:dyDescent="0.25">
      <c r="C59" s="2"/>
      <c r="D59" s="2"/>
      <c r="R59"/>
      <c r="S59"/>
    </row>
    <row r="60" spans="3:19" ht="23.1" customHeight="1" x14ac:dyDescent="0.25">
      <c r="C60" s="2"/>
      <c r="D60" s="2"/>
      <c r="R60"/>
      <c r="S60"/>
    </row>
    <row r="61" spans="3:19" ht="23.1" customHeight="1" x14ac:dyDescent="0.25">
      <c r="C61" s="2"/>
      <c r="D61" s="2"/>
      <c r="R61"/>
      <c r="S61"/>
    </row>
    <row r="62" spans="3:19" ht="23.1" customHeight="1" x14ac:dyDescent="0.25">
      <c r="C62" s="2"/>
      <c r="D62" s="2"/>
      <c r="R62"/>
      <c r="S62"/>
    </row>
    <row r="63" spans="3:19" ht="23.1" customHeight="1" x14ac:dyDescent="0.25">
      <c r="C63" s="2"/>
      <c r="D63" s="2"/>
      <c r="R63"/>
      <c r="S63"/>
    </row>
    <row r="64" spans="3:19" ht="23.1" customHeight="1" x14ac:dyDescent="0.25">
      <c r="C64" s="2"/>
      <c r="D64" s="2"/>
      <c r="R64"/>
      <c r="S64"/>
    </row>
    <row r="65" spans="3:19" ht="23.1" customHeight="1" x14ac:dyDescent="0.25">
      <c r="C65" s="2"/>
      <c r="D65" s="2"/>
      <c r="R65"/>
      <c r="S65"/>
    </row>
    <row r="66" spans="3:19" ht="23.1" customHeight="1" x14ac:dyDescent="0.25">
      <c r="C66" s="2"/>
      <c r="D66" s="2"/>
      <c r="R66"/>
      <c r="S66"/>
    </row>
    <row r="67" spans="3:19" ht="23.1" customHeight="1" x14ac:dyDescent="0.25">
      <c r="C67" s="2"/>
      <c r="D67" s="2"/>
      <c r="R67"/>
      <c r="S67"/>
    </row>
    <row r="68" spans="3:19" ht="23.1" customHeight="1" x14ac:dyDescent="0.25">
      <c r="C68" s="2"/>
      <c r="D68" s="2"/>
      <c r="R68"/>
      <c r="S68"/>
    </row>
    <row r="69" spans="3:19" ht="23.1" customHeight="1" x14ac:dyDescent="0.25">
      <c r="C69" s="2"/>
      <c r="D69" s="2"/>
      <c r="R69"/>
      <c r="S69"/>
    </row>
    <row r="70" spans="3:19" ht="23.1" customHeight="1" x14ac:dyDescent="0.25">
      <c r="C70" s="2"/>
      <c r="D70" s="2"/>
      <c r="R70"/>
      <c r="S70"/>
    </row>
    <row r="71" spans="3:19" ht="23.1" customHeight="1" x14ac:dyDescent="0.25">
      <c r="C71" s="2"/>
      <c r="D71" s="2"/>
      <c r="R71"/>
      <c r="S71"/>
    </row>
    <row r="72" spans="3:19" ht="23.1" customHeight="1" x14ac:dyDescent="0.25">
      <c r="C72" s="2"/>
      <c r="D72" s="2"/>
      <c r="R72"/>
      <c r="S72"/>
    </row>
    <row r="73" spans="3:19" ht="23.1" customHeight="1" x14ac:dyDescent="0.25">
      <c r="C73" s="2"/>
      <c r="D73" s="2"/>
      <c r="R73"/>
      <c r="S73"/>
    </row>
    <row r="74" spans="3:19" ht="23.1" customHeight="1" x14ac:dyDescent="0.25">
      <c r="C74" s="2"/>
      <c r="D74" s="2"/>
      <c r="R74"/>
      <c r="S74"/>
    </row>
    <row r="75" spans="3:19" ht="23.1" customHeight="1" x14ac:dyDescent="0.25">
      <c r="C75" s="2"/>
      <c r="D75" s="2"/>
      <c r="R75"/>
      <c r="S75"/>
    </row>
    <row r="76" spans="3:19" ht="23.1" customHeight="1" x14ac:dyDescent="0.25">
      <c r="C76" s="2"/>
      <c r="D76" s="2"/>
      <c r="R76"/>
      <c r="S76"/>
    </row>
    <row r="77" spans="3:19" ht="23.1" customHeight="1" x14ac:dyDescent="0.25">
      <c r="C77" s="2"/>
      <c r="D77" s="2"/>
      <c r="R77"/>
      <c r="S77"/>
    </row>
    <row r="78" spans="3:19" ht="23.1" customHeight="1" x14ac:dyDescent="0.25">
      <c r="C78" s="2"/>
      <c r="D78" s="2"/>
      <c r="R78"/>
      <c r="S78"/>
    </row>
    <row r="79" spans="3:19" ht="23.1" customHeight="1" x14ac:dyDescent="0.25">
      <c r="C79" s="2"/>
      <c r="D79" s="2"/>
      <c r="R79"/>
      <c r="S79"/>
    </row>
    <row r="80" spans="3:19" ht="23.1" customHeight="1" x14ac:dyDescent="0.25">
      <c r="C80" s="2"/>
      <c r="D80" s="2"/>
      <c r="R80"/>
      <c r="S80"/>
    </row>
    <row r="81" spans="3:19" ht="23.1" customHeight="1" x14ac:dyDescent="0.25">
      <c r="C81" s="2"/>
      <c r="D81" s="2"/>
      <c r="R81"/>
      <c r="S81"/>
    </row>
    <row r="82" spans="3:19" ht="23.1" customHeight="1" x14ac:dyDescent="0.25">
      <c r="C82" s="2"/>
      <c r="D82" s="2"/>
      <c r="R82"/>
      <c r="S82"/>
    </row>
    <row r="83" spans="3:19" ht="23.1" customHeight="1" x14ac:dyDescent="0.25">
      <c r="C83" s="2"/>
      <c r="D83" s="2"/>
      <c r="R83"/>
      <c r="S83"/>
    </row>
    <row r="84" spans="3:19" ht="23.1" customHeight="1" x14ac:dyDescent="0.25">
      <c r="C84" s="2"/>
      <c r="D84" s="2"/>
      <c r="R84"/>
      <c r="S84"/>
    </row>
    <row r="85" spans="3:19" ht="23.1" customHeight="1" x14ac:dyDescent="0.25">
      <c r="C85" s="2"/>
      <c r="D85" s="2"/>
      <c r="R85"/>
      <c r="S85"/>
    </row>
    <row r="86" spans="3:19" ht="23.1" customHeight="1" x14ac:dyDescent="0.25">
      <c r="C86" s="13"/>
      <c r="Q86" s="2"/>
      <c r="S86"/>
    </row>
    <row r="87" spans="3:19" ht="23.1" customHeight="1" x14ac:dyDescent="0.25">
      <c r="C87" s="13"/>
      <c r="Q87" s="2"/>
      <c r="S87"/>
    </row>
    <row r="88" spans="3:19" ht="23.1" customHeight="1" x14ac:dyDescent="0.25">
      <c r="C88" s="13"/>
    </row>
    <row r="89" spans="3:19" ht="23.1" customHeight="1" x14ac:dyDescent="0.25">
      <c r="C89" s="13"/>
    </row>
    <row r="90" spans="3:19" ht="23.1" customHeight="1" x14ac:dyDescent="0.25"/>
    <row r="91" spans="3:19" ht="23.1" customHeight="1" x14ac:dyDescent="0.25"/>
    <row r="92" spans="3:19" ht="23.1" customHeight="1" x14ac:dyDescent="0.25"/>
    <row r="93" spans="3:19" ht="23.1" customHeight="1" x14ac:dyDescent="0.25"/>
    <row r="94" spans="3:19" ht="23.1" customHeight="1" x14ac:dyDescent="0.25"/>
    <row r="95" spans="3:19" ht="23.1" customHeight="1" x14ac:dyDescent="0.25"/>
    <row r="96" spans="3:19" ht="23.1" customHeight="1" x14ac:dyDescent="0.25"/>
    <row r="97" ht="23.1" customHeight="1" x14ac:dyDescent="0.25"/>
    <row r="98" ht="23.1" customHeight="1" x14ac:dyDescent="0.25"/>
    <row r="99" ht="23.1" customHeight="1" x14ac:dyDescent="0.25"/>
    <row r="100" ht="23.1" customHeight="1" x14ac:dyDescent="0.25"/>
    <row r="101" ht="23.1" customHeight="1" x14ac:dyDescent="0.25"/>
    <row r="102" ht="23.1" customHeight="1" x14ac:dyDescent="0.25"/>
    <row r="103" ht="23.1" customHeight="1" x14ac:dyDescent="0.25"/>
    <row r="104" ht="23.1" customHeight="1" x14ac:dyDescent="0.25"/>
    <row r="105" ht="23.1" customHeight="1" x14ac:dyDescent="0.25"/>
    <row r="106" ht="23.1" customHeight="1" x14ac:dyDescent="0.25"/>
    <row r="107" ht="23.1" customHeight="1" x14ac:dyDescent="0.25"/>
    <row r="108" ht="23.1" customHeight="1" x14ac:dyDescent="0.25"/>
    <row r="109" ht="23.1" customHeight="1" x14ac:dyDescent="0.25"/>
    <row r="110" ht="23.1" customHeight="1" x14ac:dyDescent="0.25"/>
    <row r="111" ht="23.1" customHeight="1" x14ac:dyDescent="0.25"/>
    <row r="112" ht="23.1" customHeight="1" x14ac:dyDescent="0.25"/>
    <row r="113" ht="23.1" customHeight="1" x14ac:dyDescent="0.25"/>
    <row r="114" ht="23.1" customHeight="1" x14ac:dyDescent="0.25"/>
    <row r="115" ht="23.1" customHeight="1" x14ac:dyDescent="0.25"/>
    <row r="116" ht="23.1" customHeight="1" x14ac:dyDescent="0.25"/>
    <row r="117" ht="23.1" customHeight="1" x14ac:dyDescent="0.25"/>
    <row r="118" ht="23.1" customHeight="1" x14ac:dyDescent="0.25"/>
    <row r="119" ht="23.1" customHeight="1" x14ac:dyDescent="0.25"/>
    <row r="120" ht="23.1" customHeight="1" x14ac:dyDescent="0.25"/>
    <row r="121" ht="23.1" customHeight="1" x14ac:dyDescent="0.25"/>
    <row r="122" ht="23.1" customHeight="1" x14ac:dyDescent="0.25"/>
    <row r="123" ht="23.1" customHeight="1" x14ac:dyDescent="0.25"/>
    <row r="124" ht="23.1" customHeight="1" x14ac:dyDescent="0.25"/>
    <row r="125" ht="23.1" customHeight="1" x14ac:dyDescent="0.25"/>
    <row r="126" ht="23.1" customHeight="1" x14ac:dyDescent="0.25"/>
    <row r="127" ht="23.1" customHeight="1" x14ac:dyDescent="0.25"/>
    <row r="128" ht="23.1" customHeight="1" x14ac:dyDescent="0.25"/>
    <row r="129" ht="23.1" customHeight="1" x14ac:dyDescent="0.25"/>
    <row r="130" ht="23.1" customHeight="1" x14ac:dyDescent="0.25"/>
    <row r="131" ht="23.1" customHeight="1" x14ac:dyDescent="0.25"/>
    <row r="132" ht="23.1" customHeight="1" x14ac:dyDescent="0.25"/>
    <row r="133" ht="23.1" customHeight="1" x14ac:dyDescent="0.25"/>
    <row r="134" ht="23.1" customHeight="1" x14ac:dyDescent="0.25"/>
    <row r="135" ht="23.1" customHeight="1" x14ac:dyDescent="0.25"/>
    <row r="136" ht="23.1" customHeight="1" x14ac:dyDescent="0.25"/>
    <row r="137" ht="23.1" customHeight="1" x14ac:dyDescent="0.25"/>
    <row r="138" ht="23.1" customHeight="1" x14ac:dyDescent="0.25"/>
    <row r="139" ht="23.1" customHeight="1" x14ac:dyDescent="0.25"/>
    <row r="140" ht="23.1" customHeight="1" x14ac:dyDescent="0.25"/>
    <row r="141" ht="23.1" customHeight="1" x14ac:dyDescent="0.25"/>
    <row r="142" ht="23.1" customHeight="1" x14ac:dyDescent="0.25"/>
    <row r="143" ht="23.1" customHeight="1" x14ac:dyDescent="0.25"/>
    <row r="144" ht="23.1" customHeight="1" x14ac:dyDescent="0.25"/>
    <row r="145" ht="23.1" customHeight="1" x14ac:dyDescent="0.25"/>
    <row r="146" ht="23.1" customHeight="1" x14ac:dyDescent="0.25"/>
    <row r="147" ht="23.1" customHeight="1" x14ac:dyDescent="0.25"/>
    <row r="148" ht="23.1" customHeight="1" x14ac:dyDescent="0.25"/>
    <row r="149" ht="23.1" customHeight="1" x14ac:dyDescent="0.25"/>
    <row r="150" ht="23.1" customHeight="1" x14ac:dyDescent="0.25"/>
    <row r="151" ht="23.1" customHeight="1" x14ac:dyDescent="0.25"/>
  </sheetData>
  <mergeCells count="10">
    <mergeCell ref="B1:P1"/>
    <mergeCell ref="B2:P2"/>
    <mergeCell ref="D5:E5"/>
    <mergeCell ref="G5:H5"/>
    <mergeCell ref="K5:L5"/>
    <mergeCell ref="D6:E6"/>
    <mergeCell ref="G6:H6"/>
    <mergeCell ref="K6:L6"/>
    <mergeCell ref="C8:P8"/>
    <mergeCell ref="C3:F3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2" tint="-0.249977111117893"/>
  </sheetPr>
  <dimension ref="B1:AD151"/>
  <sheetViews>
    <sheetView tabSelected="1" view="pageBreakPreview" zoomScale="55" zoomScaleSheetLayoutView="55" workbookViewId="0">
      <selection activeCell="C18" sqref="C18"/>
    </sheetView>
  </sheetViews>
  <sheetFormatPr defaultColWidth="15" defaultRowHeight="20.100000000000001" customHeight="1" x14ac:dyDescent="0.25"/>
  <cols>
    <col min="1" max="1" width="4.85546875" customWidth="1"/>
    <col min="2" max="2" width="19.570312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5.7109375" customWidth="1"/>
    <col min="10" max="10" width="18.42578125" customWidth="1"/>
    <col min="11" max="11" width="20.42578125" customWidth="1"/>
    <col min="12" max="12" width="19.28515625" customWidth="1"/>
    <col min="13" max="13" width="14.5703125" customWidth="1"/>
    <col min="14" max="14" width="16.28515625" customWidth="1"/>
    <col min="15" max="15" width="14.85546875" customWidth="1"/>
    <col min="16" max="16" width="14.28515625" customWidth="1"/>
    <col min="17" max="17" width="14.7109375" customWidth="1"/>
    <col min="18" max="19" width="10.7109375" style="2" customWidth="1"/>
    <col min="20" max="32" width="10.7109375" customWidth="1"/>
  </cols>
  <sheetData>
    <row r="1" spans="2:30" ht="23.25" customHeight="1" x14ac:dyDescent="0.3">
      <c r="B1" s="32" t="s">
        <v>0</v>
      </c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</row>
    <row r="2" spans="2:30" ht="20.100000000000001" customHeight="1" x14ac:dyDescent="0.25">
      <c r="B2" s="33" t="s">
        <v>28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</row>
    <row r="3" spans="2:30" ht="20.100000000000001" customHeight="1" x14ac:dyDescent="0.25">
      <c r="B3" s="1" t="s">
        <v>1</v>
      </c>
      <c r="C3" s="36" t="s">
        <v>31</v>
      </c>
      <c r="D3" s="36"/>
      <c r="E3" s="36"/>
      <c r="F3" s="36"/>
      <c r="G3" s="15"/>
      <c r="H3" s="15"/>
      <c r="I3" s="15"/>
      <c r="J3" s="15"/>
      <c r="K3" s="1"/>
      <c r="L3" s="1"/>
      <c r="M3" s="1"/>
      <c r="N3" s="1"/>
      <c r="O3" s="1"/>
      <c r="P3" s="1"/>
    </row>
    <row r="4" spans="2:30" ht="20.100000000000001" customHeigh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30" ht="20.100000000000001" customHeight="1" x14ac:dyDescent="0.25">
      <c r="C5" s="3" t="s">
        <v>2</v>
      </c>
      <c r="D5" s="35" t="s">
        <v>13</v>
      </c>
      <c r="E5" s="35"/>
      <c r="F5" s="4" t="s">
        <v>3</v>
      </c>
      <c r="G5" s="37"/>
      <c r="H5" s="38"/>
      <c r="I5" s="5"/>
      <c r="J5" s="3" t="s">
        <v>4</v>
      </c>
      <c r="K5" s="37" t="s">
        <v>14</v>
      </c>
      <c r="L5" s="38"/>
      <c r="M5" s="2"/>
      <c r="N5" s="2"/>
    </row>
    <row r="6" spans="2:30" ht="23.25" customHeight="1" x14ac:dyDescent="0.25">
      <c r="C6" s="3" t="s">
        <v>5</v>
      </c>
      <c r="D6" s="39" t="s">
        <v>16</v>
      </c>
      <c r="E6" s="40"/>
      <c r="F6" s="3" t="s">
        <v>6</v>
      </c>
      <c r="G6" s="39" t="s">
        <v>17</v>
      </c>
      <c r="H6" s="40"/>
      <c r="J6" s="3" t="s">
        <v>7</v>
      </c>
      <c r="K6" s="39" t="s">
        <v>32</v>
      </c>
      <c r="L6" s="40"/>
      <c r="M6" s="2"/>
      <c r="N6" s="2"/>
    </row>
    <row r="7" spans="2:30" ht="20.100000000000001" customHeight="1" x14ac:dyDescent="0.25">
      <c r="D7" s="2"/>
      <c r="E7" s="2"/>
      <c r="R7"/>
      <c r="S7"/>
    </row>
    <row r="8" spans="2:30" ht="50.25" customHeight="1" x14ac:dyDescent="0.25">
      <c r="C8" s="34" t="s">
        <v>9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R8"/>
      <c r="S8"/>
    </row>
    <row r="9" spans="2:30" ht="51.75" customHeight="1" x14ac:dyDescent="0.25">
      <c r="B9" s="14" t="s">
        <v>8</v>
      </c>
      <c r="C9" s="24" t="s">
        <v>18</v>
      </c>
      <c r="D9" s="24" t="s">
        <v>33</v>
      </c>
      <c r="E9" s="24" t="s">
        <v>34</v>
      </c>
      <c r="F9" s="24" t="s">
        <v>35</v>
      </c>
      <c r="G9" s="24" t="s">
        <v>44</v>
      </c>
      <c r="H9" s="24" t="s">
        <v>37</v>
      </c>
      <c r="I9" s="24" t="s">
        <v>38</v>
      </c>
      <c r="J9" s="24" t="s">
        <v>39</v>
      </c>
      <c r="K9" s="24" t="s">
        <v>40</v>
      </c>
      <c r="L9" s="24" t="s">
        <v>41</v>
      </c>
      <c r="M9" s="24" t="s">
        <v>42</v>
      </c>
      <c r="N9" s="24" t="s">
        <v>43</v>
      </c>
      <c r="O9" s="7" t="s">
        <v>10</v>
      </c>
      <c r="P9" s="7" t="s">
        <v>27</v>
      </c>
      <c r="R9"/>
      <c r="S9"/>
    </row>
    <row r="10" spans="2:30" ht="23.1" customHeight="1" x14ac:dyDescent="0.25">
      <c r="B10" s="6" t="s">
        <v>19</v>
      </c>
      <c r="C10" s="28">
        <f>'21.01 MITYANA RBT-SENTEMA RBT'!C10+'21.01 SENTEMA RBT-MITYAN RBT'!C10</f>
        <v>11520</v>
      </c>
      <c r="D10" s="28">
        <f>'21.01 MITYANA RBT-SENTEMA RBT'!D10+'21.01 SENTEMA RBT-MITYAN RBT'!D10</f>
        <v>11379.743265896399</v>
      </c>
      <c r="E10" s="28">
        <f>'21.01 MITYANA RBT-SENTEMA RBT'!E10+'21.01 SENTEMA RBT-MITYAN RBT'!E10</f>
        <v>1760.9681247764624</v>
      </c>
      <c r="F10" s="28">
        <f>'21.01 MITYANA RBT-SENTEMA RBT'!F10+'21.01 SENTEMA RBT-MITYAN RBT'!F10</f>
        <v>1608.4841899015655</v>
      </c>
      <c r="G10" s="28">
        <f>'21.01 MITYANA RBT-SENTEMA RBT'!G10+'21.01 SENTEMA RBT-MITYAN RBT'!G10</f>
        <v>4652.0574245416501</v>
      </c>
      <c r="H10" s="28">
        <f>'21.01 MITYANA RBT-SENTEMA RBT'!H10+'21.01 SENTEMA RBT-MITYAN RBT'!H10</f>
        <v>297.41235946319995</v>
      </c>
      <c r="I10" s="28">
        <f>'21.01 MITYANA RBT-SENTEMA RBT'!I10+'21.01 SENTEMA RBT-MITYAN RBT'!I10</f>
        <v>99.36640801156949</v>
      </c>
      <c r="J10" s="28">
        <f>'21.01 MITYANA RBT-SENTEMA RBT'!J10+'21.01 SENTEMA RBT-MITYAN RBT'!J10</f>
        <v>1800.5009967810654</v>
      </c>
      <c r="K10" s="28">
        <f>'21.01 MITYANA RBT-SENTEMA RBT'!K10+'21.01 SENTEMA RBT-MITYAN RBT'!K10</f>
        <v>1486.069659601598</v>
      </c>
      <c r="L10" s="28">
        <f>'21.01 MITYANA RBT-SENTEMA RBT'!L10+'21.01 SENTEMA RBT-MITYAN RBT'!L10</f>
        <v>658.85576064814086</v>
      </c>
      <c r="M10" s="28">
        <f>'21.01 MITYANA RBT-SENTEMA RBT'!M10+'21.01 SENTEMA RBT-MITYAN RBT'!M10</f>
        <v>794.39703609249386</v>
      </c>
      <c r="N10" s="28">
        <f>'21.01 MITYANA RBT-SENTEMA RBT'!N10+'21.01 SENTEMA RBT-MITYAN RBT'!N10</f>
        <v>1.1447742858475747</v>
      </c>
      <c r="O10" s="9">
        <f t="shared" ref="O10:O16" si="0">SUM(D10:N10)</f>
        <v>24538.999999999993</v>
      </c>
      <c r="P10" s="9">
        <f t="shared" ref="P10:P16" si="1">SUM(C10:N10)</f>
        <v>36059</v>
      </c>
      <c r="R10"/>
      <c r="S10"/>
    </row>
    <row r="11" spans="2:30" s="10" customFormat="1" ht="23.1" customHeight="1" x14ac:dyDescent="0.25">
      <c r="B11" s="6" t="s">
        <v>23</v>
      </c>
      <c r="C11" s="28">
        <f>'21.01 MITYANA RBT-SENTEMA RBT'!C11+'21.01 SENTEMA RBT-MITYAN RBT'!C11</f>
        <v>15295</v>
      </c>
      <c r="D11" s="28">
        <f>'21.01 MITYANA RBT-SENTEMA RBT'!D11+'21.01 SENTEMA RBT-MITYAN RBT'!D11</f>
        <v>15472.722363039789</v>
      </c>
      <c r="E11" s="28">
        <f>'21.01 MITYANA RBT-SENTEMA RBT'!E11+'21.01 SENTEMA RBT-MITYAN RBT'!E11</f>
        <v>2394.3396830827123</v>
      </c>
      <c r="F11" s="28">
        <f>'21.01 MITYANA RBT-SENTEMA RBT'!F11+'21.01 SENTEMA RBT-MITYAN RBT'!F11</f>
        <v>2187.0114917505089</v>
      </c>
      <c r="G11" s="28">
        <f>'21.01 MITYANA RBT-SENTEMA RBT'!G11+'21.01 SENTEMA RBT-MITYAN RBT'!G11</f>
        <v>6325.2738893122041</v>
      </c>
      <c r="H11" s="28">
        <f>'21.01 MITYANA RBT-SENTEMA RBT'!H11+'21.01 SENTEMA RBT-MITYAN RBT'!H11</f>
        <v>404.38336417497317</v>
      </c>
      <c r="I11" s="28">
        <f>'21.01 MITYANA RBT-SENTEMA RBT'!I11+'21.01 SENTEMA RBT-MITYAN RBT'!I11</f>
        <v>135.10575831557992</v>
      </c>
      <c r="J11" s="28">
        <f>'21.01 MITYANA RBT-SENTEMA RBT'!J11+'21.01 SENTEMA RBT-MITYAN RBT'!J11</f>
        <v>2448.0914363910611</v>
      </c>
      <c r="K11" s="28">
        <f>'21.01 MITYANA RBT-SENTEMA RBT'!K11+'21.01 SENTEMA RBT-MITYAN RBT'!K11</f>
        <v>2020.5678386489799</v>
      </c>
      <c r="L11" s="28">
        <f>'21.01 MITYANA RBT-SENTEMA RBT'!L11+'21.01 SENTEMA RBT-MITYAN RBT'!L11</f>
        <v>895.827965851307</v>
      </c>
      <c r="M11" s="28">
        <f>'21.01 MITYANA RBT-SENTEMA RBT'!M11+'21.01 SENTEMA RBT-MITYAN RBT'!M11</f>
        <v>1080.119691479932</v>
      </c>
      <c r="N11" s="28">
        <f>'21.01 MITYANA RBT-SENTEMA RBT'!N11+'21.01 SENTEMA RBT-MITYAN RBT'!N11</f>
        <v>1.556517952944469</v>
      </c>
      <c r="O11" s="9">
        <f t="shared" si="0"/>
        <v>33364.999999999985</v>
      </c>
      <c r="P11" s="9">
        <f t="shared" si="1"/>
        <v>48659.999999999993</v>
      </c>
    </row>
    <row r="12" spans="2:30" ht="23.1" customHeight="1" x14ac:dyDescent="0.25">
      <c r="B12" s="6" t="s">
        <v>24</v>
      </c>
      <c r="C12" s="28">
        <f>'21.01 MITYANA RBT-SENTEMA RBT'!C12+'21.01 SENTEMA RBT-MITYAN RBT'!C12</f>
        <v>17253</v>
      </c>
      <c r="D12" s="28">
        <f>'21.01 MITYANA RBT-SENTEMA RBT'!D12+'21.01 SENTEMA RBT-MITYAN RBT'!D12</f>
        <v>15064.630180229209</v>
      </c>
      <c r="E12" s="28">
        <f>'21.01 MITYANA RBT-SENTEMA RBT'!E12+'21.01 SENTEMA RBT-MITYAN RBT'!E12</f>
        <v>2331.1891084951867</v>
      </c>
      <c r="F12" s="28">
        <f>'21.01 MITYANA RBT-SENTEMA RBT'!F12+'21.01 SENTEMA RBT-MITYAN RBT'!F12</f>
        <v>2129.3291865582278</v>
      </c>
      <c r="G12" s="28">
        <f>'21.01 MITYANA RBT-SENTEMA RBT'!G12+'21.01 SENTEMA RBT-MITYAN RBT'!G12</f>
        <v>6158.4451459405645</v>
      </c>
      <c r="H12" s="28">
        <f>'21.01 MITYANA RBT-SENTEMA RBT'!H12+'21.01 SENTEMA RBT-MITYAN RBT'!H12</f>
        <v>393.71777566983371</v>
      </c>
      <c r="I12" s="28">
        <f>'21.01 MITYANA RBT-SENTEMA RBT'!I12+'21.01 SENTEMA RBT-MITYAN RBT'!I12</f>
        <v>131.54235153249255</v>
      </c>
      <c r="J12" s="28">
        <f>'21.01 MITYANA RBT-SENTEMA RBT'!J12+'21.01 SENTEMA RBT-MITYAN RBT'!J12</f>
        <v>2383.5231623306945</v>
      </c>
      <c r="K12" s="28">
        <f>'21.01 MITYANA RBT-SENTEMA RBT'!K12+'21.01 SENTEMA RBT-MITYAN RBT'!K12</f>
        <v>1967.2754754536822</v>
      </c>
      <c r="L12" s="28">
        <f>'21.01 MITYANA RBT-SENTEMA RBT'!L12+'21.01 SENTEMA RBT-MITYAN RBT'!L12</f>
        <v>872.20055359447645</v>
      </c>
      <c r="M12" s="28">
        <f>'21.01 MITYANA RBT-SENTEMA RBT'!M12+'21.01 SENTEMA RBT-MITYAN RBT'!M12</f>
        <v>1051.6315953162175</v>
      </c>
      <c r="N12" s="28">
        <f>'21.01 MITYANA RBT-SENTEMA RBT'!N12+'21.01 SENTEMA RBT-MITYAN RBT'!N12</f>
        <v>1.5154648794065961</v>
      </c>
      <c r="O12" s="9">
        <f t="shared" si="0"/>
        <v>32484.999999999993</v>
      </c>
      <c r="P12" s="9">
        <f t="shared" si="1"/>
        <v>49738</v>
      </c>
      <c r="R12"/>
      <c r="S12"/>
    </row>
    <row r="13" spans="2:30" ht="23.1" customHeight="1" x14ac:dyDescent="0.25">
      <c r="B13" s="6" t="s">
        <v>20</v>
      </c>
      <c r="C13" s="28">
        <f>'21.01 MITYANA RBT-SENTEMA RBT'!C13+'21.01 SENTEMA RBT-MITYAN RBT'!C13</f>
        <v>17230</v>
      </c>
      <c r="D13" s="28">
        <f>'21.01 MITYANA RBT-SENTEMA RBT'!D13+'21.01 SENTEMA RBT-MITYAN RBT'!D13</f>
        <v>15245.952956909819</v>
      </c>
      <c r="E13" s="28">
        <f>'21.01 MITYANA RBT-SENTEMA RBT'!E13+'21.01 SENTEMA RBT-MITYAN RBT'!E13</f>
        <v>2359.2480569766894</v>
      </c>
      <c r="F13" s="28">
        <f>'21.01 MITYANA RBT-SENTEMA RBT'!F13+'21.01 SENTEMA RBT-MITYAN RBT'!F13</f>
        <v>2154.9584835243431</v>
      </c>
      <c r="G13" s="28">
        <f>'21.01 MITYANA RBT-SENTEMA RBT'!G13+'21.01 SENTEMA RBT-MITYAN RBT'!G13</f>
        <v>6232.5701898704629</v>
      </c>
      <c r="H13" s="28">
        <f>'21.01 MITYANA RBT-SENTEMA RBT'!H13+'21.01 SENTEMA RBT-MITYAN RBT'!H13</f>
        <v>398.45669056245822</v>
      </c>
      <c r="I13" s="28">
        <f>'21.01 MITYANA RBT-SENTEMA RBT'!I13+'21.01 SENTEMA RBT-MITYAN RBT'!I13</f>
        <v>133.12563795543252</v>
      </c>
      <c r="J13" s="28">
        <f>'21.01 MITYANA RBT-SENTEMA RBT'!J13+'21.01 SENTEMA RBT-MITYAN RBT'!J13</f>
        <v>2412.2120204643347</v>
      </c>
      <c r="K13" s="28">
        <f>'21.01 MITYANA RBT-SENTEMA RBT'!K13+'21.01 SENTEMA RBT-MITYAN RBT'!K13</f>
        <v>1990.9542413734112</v>
      </c>
      <c r="L13" s="28">
        <f>'21.01 MITYANA RBT-SENTEMA RBT'!L13+'21.01 SENTEMA RBT-MITYAN RBT'!L13</f>
        <v>882.69864244949997</v>
      </c>
      <c r="M13" s="28">
        <f>'21.01 MITYANA RBT-SENTEMA RBT'!M13+'21.01 SENTEMA RBT-MITYAN RBT'!M13</f>
        <v>1064.2893744071407</v>
      </c>
      <c r="N13" s="28">
        <f>'21.01 MITYANA RBT-SENTEMA RBT'!N13+'21.01 SENTEMA RBT-MITYAN RBT'!N13</f>
        <v>1.5337055063989919</v>
      </c>
      <c r="O13" s="9">
        <f t="shared" si="0"/>
        <v>32876</v>
      </c>
      <c r="P13" s="9">
        <f t="shared" si="1"/>
        <v>50105.999999999993</v>
      </c>
      <c r="R13"/>
      <c r="S13"/>
      <c r="AB13" s="30">
        <f>AVERAGE(O10:O13)</f>
        <v>30816.249999999993</v>
      </c>
      <c r="AC13" s="30">
        <f>AVERAGE(P10:P13)</f>
        <v>46140.75</v>
      </c>
    </row>
    <row r="14" spans="2:30" ht="23.1" customHeight="1" x14ac:dyDescent="0.25">
      <c r="B14" s="6" t="s">
        <v>21</v>
      </c>
      <c r="C14" s="28">
        <f>'21.01 MITYANA RBT-SENTEMA RBT'!C14+'21.01 SENTEMA RBT-MITYAN RBT'!C14</f>
        <v>18100</v>
      </c>
      <c r="D14" s="28">
        <f>'21.01 MITYANA RBT-SENTEMA RBT'!D14+'21.01 SENTEMA RBT-MITYAN RBT'!D14</f>
        <v>16737.808129752586</v>
      </c>
      <c r="E14" s="28">
        <f>'21.01 MITYANA RBT-SENTEMA RBT'!E14+'21.01 SENTEMA RBT-MITYAN RBT'!E14</f>
        <v>2590.1064643040409</v>
      </c>
      <c r="F14" s="28">
        <f>'21.01 MITYANA RBT-SENTEMA RBT'!F14+'21.01 SENTEMA RBT-MITYAN RBT'!F14</f>
        <v>2365.8266378465787</v>
      </c>
      <c r="G14" s="28">
        <f>'21.01 MITYANA RBT-SENTEMA RBT'!G14+'21.01 SENTEMA RBT-MITYAN RBT'!G14</f>
        <v>6842.4429937642853</v>
      </c>
      <c r="H14" s="28">
        <f>'21.01 MITYANA RBT-SENTEMA RBT'!H14+'21.01 SENTEMA RBT-MITYAN RBT'!H14</f>
        <v>437.44668854090531</v>
      </c>
      <c r="I14" s="28">
        <f>'21.01 MITYANA RBT-SENTEMA RBT'!I14+'21.01 SENTEMA RBT-MITYAN RBT'!I14</f>
        <v>146.15231934315079</v>
      </c>
      <c r="J14" s="28">
        <f>'21.01 MITYANA RBT-SENTEMA RBT'!J14+'21.01 SENTEMA RBT-MITYAN RBT'!J14</f>
        <v>2648.2530859781978</v>
      </c>
      <c r="K14" s="28">
        <f>'21.01 MITYANA RBT-SENTEMA RBT'!K14+'21.01 SENTEMA RBT-MITYAN RBT'!K14</f>
        <v>2185.7741645544024</v>
      </c>
      <c r="L14" s="28">
        <f>'21.01 MITYANA RBT-SENTEMA RBT'!L14+'21.01 SENTEMA RBT-MITYAN RBT'!L14</f>
        <v>969.07294384748161</v>
      </c>
      <c r="M14" s="28">
        <f>'21.01 MITYANA RBT-SENTEMA RBT'!M14+'21.01 SENTEMA RBT-MITYAN RBT'!M14</f>
        <v>1168.4327895874476</v>
      </c>
      <c r="N14" s="28">
        <f>'21.01 MITYANA RBT-SENTEMA RBT'!N14+'21.01 SENTEMA RBT-MITYAN RBT'!N14</f>
        <v>1.6837824809118755</v>
      </c>
      <c r="O14" s="9">
        <f t="shared" si="0"/>
        <v>36092.999999999985</v>
      </c>
      <c r="P14" s="9">
        <f t="shared" si="1"/>
        <v>54192.999999999978</v>
      </c>
      <c r="S14"/>
      <c r="AB14" s="31">
        <f>O14/AB13</f>
        <v>1.1712327100150082</v>
      </c>
      <c r="AC14" s="31">
        <f>P14/AC13</f>
        <v>1.1745149352795519</v>
      </c>
    </row>
    <row r="15" spans="2:30" ht="23.1" customHeight="1" x14ac:dyDescent="0.25">
      <c r="B15" s="6" t="s">
        <v>22</v>
      </c>
      <c r="C15" s="28">
        <f>'21.01 MITYANA RBT-SENTEMA RBT'!C15+'21.01 SENTEMA RBT-MITYAN RBT'!C15</f>
        <v>18652</v>
      </c>
      <c r="D15" s="28">
        <f>'21.01 MITYANA RBT-SENTEMA RBT'!D15+'21.01 SENTEMA RBT-MITYAN RBT'!D15</f>
        <v>17362.003673006046</v>
      </c>
      <c r="E15" s="28">
        <f>'21.01 MITYANA RBT-SENTEMA RBT'!E15+'21.01 SENTEMA RBT-MITYAN RBT'!E15</f>
        <v>2686.6981386163243</v>
      </c>
      <c r="F15" s="28">
        <f>'21.01 MITYANA RBT-SENTEMA RBT'!F15+'21.01 SENTEMA RBT-MITYAN RBT'!F15</f>
        <v>2454.054345561136</v>
      </c>
      <c r="G15" s="28">
        <f>'21.01 MITYANA RBT-SENTEMA RBT'!G15+'21.01 SENTEMA RBT-MITYAN RBT'!G15</f>
        <v>7097.6151398759057</v>
      </c>
      <c r="H15" s="28">
        <f>'21.01 MITYANA RBT-SENTEMA RBT'!H15+'21.01 SENTEMA RBT-MITYAN RBT'!H15</f>
        <v>453.76019095899358</v>
      </c>
      <c r="I15" s="28">
        <f>'21.01 MITYANA RBT-SENTEMA RBT'!I15+'21.01 SENTEMA RBT-MITYAN RBT'!I15</f>
        <v>151.60271199091852</v>
      </c>
      <c r="J15" s="28">
        <f>'21.01 MITYANA RBT-SENTEMA RBT'!J15+'21.01 SENTEMA RBT-MITYAN RBT'!J15</f>
        <v>2747.0131960750768</v>
      </c>
      <c r="K15" s="28">
        <f>'21.01 MITYANA RBT-SENTEMA RBT'!K15+'21.01 SENTEMA RBT-MITYAN RBT'!K15</f>
        <v>2267.2872564417553</v>
      </c>
      <c r="L15" s="28">
        <f>'21.01 MITYANA RBT-SENTEMA RBT'!L15+'21.01 SENTEMA RBT-MITYAN RBT'!L15</f>
        <v>1005.2121448675882</v>
      </c>
      <c r="M15" s="28">
        <f>'21.01 MITYANA RBT-SENTEMA RBT'!M15+'21.01 SENTEMA RBT-MITYAN RBT'!M15</f>
        <v>1212.0066275833112</v>
      </c>
      <c r="N15" s="28">
        <f>'21.01 MITYANA RBT-SENTEMA RBT'!N15+'21.01 SENTEMA RBT-MITYAN RBT'!N15</f>
        <v>1.7465750229368495</v>
      </c>
      <c r="O15" s="9">
        <f t="shared" si="0"/>
        <v>37439</v>
      </c>
      <c r="P15" s="9">
        <f t="shared" si="1"/>
        <v>56090.999999999985</v>
      </c>
      <c r="S15"/>
      <c r="AB15" s="31">
        <f>O15/AB13</f>
        <v>1.2149109641828584</v>
      </c>
      <c r="AC15" s="31">
        <f>P15/AC13</f>
        <v>1.2156499406706649</v>
      </c>
    </row>
    <row r="16" spans="2:30" ht="23.1" customHeight="1" x14ac:dyDescent="0.25">
      <c r="B16" s="6" t="s">
        <v>25</v>
      </c>
      <c r="C16" s="28">
        <f>'21.01 MITYANA RBT-SENTEMA RBT'!C16+'21.01 SENTEMA RBT-MITYAN RBT'!C16</f>
        <v>17142</v>
      </c>
      <c r="D16" s="28">
        <f>'21.01 MITYANA RBT-SENTEMA RBT'!D16+'21.01 SENTEMA RBT-MITYAN RBT'!D16</f>
        <v>15726.38875394591</v>
      </c>
      <c r="E16" s="28">
        <f>'21.01 MITYANA RBT-SENTEMA RBT'!E16+'21.01 SENTEMA RBT-MITYAN RBT'!E16</f>
        <v>2433.593506150185</v>
      </c>
      <c r="F16" s="28">
        <f>'21.01 MITYANA RBT-SENTEMA RBT'!F16+'21.01 SENTEMA RBT-MITYAN RBT'!F16</f>
        <v>2222.8662882734379</v>
      </c>
      <c r="G16" s="28">
        <f>'21.01 MITYANA RBT-SENTEMA RBT'!G16+'21.01 SENTEMA RBT-MITYAN RBT'!G16</f>
        <v>6428.9731195670756</v>
      </c>
      <c r="H16" s="28">
        <f>'21.01 MITYANA RBT-SENTEMA RBT'!H16+'21.01 SENTEMA RBT-MITYAN RBT'!H16</f>
        <v>411.01299702987228</v>
      </c>
      <c r="I16" s="28">
        <f>'21.01 MITYANA RBT-SENTEMA RBT'!I16+'21.01 SENTEMA RBT-MITYAN RBT'!I16</f>
        <v>137.32073957733991</v>
      </c>
      <c r="J16" s="28">
        <f>'21.01 MITYANA RBT-SENTEMA RBT'!J16+'21.01 SENTEMA RBT-MITYAN RBT'!J16</f>
        <v>2488.2264885626755</v>
      </c>
      <c r="K16" s="28">
        <f>'21.01 MITYANA RBT-SENTEMA RBT'!K16+'21.01 SENTEMA RBT-MITYAN RBT'!K16</f>
        <v>2053.6938871351476</v>
      </c>
      <c r="L16" s="28">
        <f>'21.01 MITYANA RBT-SENTEMA RBT'!L16+'21.01 SENTEMA RBT-MITYAN RBT'!L16</f>
        <v>910.51455051549601</v>
      </c>
      <c r="M16" s="28">
        <f>'21.01 MITYANA RBT-SENTEMA RBT'!M16+'21.01 SENTEMA RBT-MITYAN RBT'!M16</f>
        <v>1097.8276330726048</v>
      </c>
      <c r="N16" s="28">
        <f>'21.01 MITYANA RBT-SENTEMA RBT'!N16+'21.01 SENTEMA RBT-MITYAN RBT'!N16</f>
        <v>1.5820361702458516</v>
      </c>
      <c r="O16" s="9">
        <f t="shared" si="0"/>
        <v>33911.999999999993</v>
      </c>
      <c r="P16" s="9">
        <f t="shared" si="1"/>
        <v>51053.999999999993</v>
      </c>
      <c r="S16"/>
      <c r="AB16" s="31">
        <f>O16/AB13</f>
        <v>1.1004583620654687</v>
      </c>
      <c r="AC16" s="31">
        <f>P16/AC13</f>
        <v>1.1064839648250189</v>
      </c>
    </row>
    <row r="17" spans="2:19" ht="22.5" customHeight="1" x14ac:dyDescent="0.25">
      <c r="B17" s="16" t="s">
        <v>26</v>
      </c>
      <c r="C17" s="11">
        <f t="shared" ref="C17:P17" si="2">AVERAGE(C10:C16)</f>
        <v>16456</v>
      </c>
      <c r="D17" s="11">
        <f t="shared" si="2"/>
        <v>15284.178474682823</v>
      </c>
      <c r="E17" s="11">
        <f t="shared" si="2"/>
        <v>2365.1632974859431</v>
      </c>
      <c r="F17" s="11">
        <f t="shared" si="2"/>
        <v>2160.3615176308281</v>
      </c>
      <c r="G17" s="11">
        <f t="shared" si="2"/>
        <v>6248.1968432674494</v>
      </c>
      <c r="H17" s="11">
        <f t="shared" si="2"/>
        <v>399.45572377146237</v>
      </c>
      <c r="I17" s="11">
        <f t="shared" si="2"/>
        <v>133.45941810378341</v>
      </c>
      <c r="J17" s="11">
        <f t="shared" si="2"/>
        <v>2418.2600552261579</v>
      </c>
      <c r="K17" s="11">
        <f t="shared" si="2"/>
        <v>1995.9460747441397</v>
      </c>
      <c r="L17" s="11">
        <f t="shared" si="2"/>
        <v>884.9117945391414</v>
      </c>
      <c r="M17" s="11">
        <f t="shared" si="2"/>
        <v>1066.9578210770212</v>
      </c>
      <c r="N17" s="11">
        <f t="shared" si="2"/>
        <v>1.5375508998131726</v>
      </c>
      <c r="O17" s="12">
        <f t="shared" si="2"/>
        <v>32958.428571428565</v>
      </c>
      <c r="P17" s="12">
        <f t="shared" si="2"/>
        <v>49414.428571428565</v>
      </c>
      <c r="R17"/>
      <c r="S17"/>
    </row>
    <row r="18" spans="2:19" ht="23.1" customHeight="1" x14ac:dyDescent="0.25">
      <c r="B18" s="18" t="s">
        <v>11</v>
      </c>
      <c r="C18" s="17">
        <f>C$17/P$17</f>
        <v>0.33302014160120963</v>
      </c>
      <c r="D18" s="17">
        <f t="shared" ref="D18:N18" si="3">D17/$P$17</f>
        <v>0.30930598443710711</v>
      </c>
      <c r="E18" s="17">
        <f t="shared" si="3"/>
        <v>4.7863819654761344E-2</v>
      </c>
      <c r="F18" s="17">
        <f t="shared" si="3"/>
        <v>4.3719245169617317E-2</v>
      </c>
      <c r="G18" s="17">
        <f t="shared" si="3"/>
        <v>0.12644478594416364</v>
      </c>
      <c r="H18" s="17">
        <f t="shared" si="3"/>
        <v>8.0837871714746039E-3</v>
      </c>
      <c r="I18" s="17">
        <f t="shared" si="3"/>
        <v>2.700818808637396E-3</v>
      </c>
      <c r="J18" s="17">
        <f t="shared" si="3"/>
        <v>4.8938338965724609E-2</v>
      </c>
      <c r="K18" s="17">
        <f t="shared" si="3"/>
        <v>4.0391969156518714E-2</v>
      </c>
      <c r="L18" s="17">
        <f t="shared" si="3"/>
        <v>1.7907963728853026E-2</v>
      </c>
      <c r="M18" s="17">
        <f t="shared" si="3"/>
        <v>2.1592029937869937E-2</v>
      </c>
      <c r="N18" s="17">
        <f t="shared" si="3"/>
        <v>3.1115424062642805E-5</v>
      </c>
      <c r="O18" s="12"/>
      <c r="P18" s="12"/>
      <c r="R18"/>
      <c r="S18"/>
    </row>
    <row r="19" spans="2:19" ht="23.1" customHeight="1" x14ac:dyDescent="0.25">
      <c r="B19" s="19" t="s">
        <v>12</v>
      </c>
      <c r="C19" s="17"/>
      <c r="D19" s="17">
        <f t="shared" ref="D19:N19" si="4">D$17/$O$17</f>
        <v>0.46374111683020508</v>
      </c>
      <c r="E19" s="17">
        <f t="shared" si="4"/>
        <v>7.1762016576733478E-2</v>
      </c>
      <c r="F19" s="17">
        <f t="shared" si="4"/>
        <v>6.5548074082137239E-2</v>
      </c>
      <c r="G19" s="17">
        <f t="shared" si="4"/>
        <v>0.18957811746777176</v>
      </c>
      <c r="H19" s="17">
        <f t="shared" si="4"/>
        <v>1.2119986937658422E-2</v>
      </c>
      <c r="I19" s="17">
        <f t="shared" si="4"/>
        <v>4.049325889872021E-3</v>
      </c>
      <c r="J19" s="17">
        <f t="shared" si="4"/>
        <v>7.3373038704962132E-2</v>
      </c>
      <c r="K19" s="17">
        <f t="shared" si="4"/>
        <v>6.0559503631019945E-2</v>
      </c>
      <c r="L19" s="17">
        <f t="shared" si="4"/>
        <v>2.6849332110034679E-2</v>
      </c>
      <c r="M19" s="17">
        <f t="shared" si="4"/>
        <v>3.2372836549675779E-2</v>
      </c>
      <c r="N19" s="17">
        <f t="shared" si="4"/>
        <v>4.6651219929401152E-5</v>
      </c>
      <c r="O19" s="12"/>
      <c r="P19" s="12"/>
      <c r="R19"/>
      <c r="S19"/>
    </row>
    <row r="20" spans="2:19" ht="23.1" customHeight="1" x14ac:dyDescent="0.25">
      <c r="D20" s="2"/>
      <c r="E20" s="2"/>
      <c r="R20"/>
      <c r="S20"/>
    </row>
    <row r="21" spans="2:19" ht="23.1" customHeight="1" x14ac:dyDescent="0.25">
      <c r="D21" s="2"/>
      <c r="E21" s="2"/>
      <c r="R21"/>
      <c r="S21"/>
    </row>
    <row r="22" spans="2:19" ht="23.1" customHeight="1" x14ac:dyDescent="0.25">
      <c r="D22" s="2"/>
      <c r="E22" s="2"/>
      <c r="R22"/>
      <c r="S22"/>
    </row>
    <row r="23" spans="2:19" ht="23.1" customHeight="1" x14ac:dyDescent="0.25">
      <c r="C23" s="2"/>
      <c r="D23" s="2"/>
      <c r="R23"/>
      <c r="S23"/>
    </row>
    <row r="24" spans="2:19" ht="23.1" customHeight="1" x14ac:dyDescent="0.25">
      <c r="C24" s="2"/>
      <c r="D24" s="2"/>
      <c r="R24"/>
      <c r="S24"/>
    </row>
    <row r="25" spans="2:19" ht="23.1" customHeight="1" x14ac:dyDescent="0.25">
      <c r="C25" s="2"/>
      <c r="D25" s="2"/>
      <c r="R25"/>
      <c r="S25"/>
    </row>
    <row r="26" spans="2:19" ht="23.1" customHeight="1" x14ac:dyDescent="0.25">
      <c r="C26" s="2"/>
      <c r="D26" s="2"/>
      <c r="R26"/>
      <c r="S26"/>
    </row>
    <row r="27" spans="2:19" ht="23.1" customHeight="1" x14ac:dyDescent="0.25">
      <c r="C27" s="2"/>
      <c r="D27" s="2"/>
      <c r="R27"/>
      <c r="S27"/>
    </row>
    <row r="28" spans="2:19" ht="23.1" customHeight="1" x14ac:dyDescent="0.25">
      <c r="C28" s="2"/>
      <c r="D28" s="2"/>
      <c r="R28"/>
      <c r="S28"/>
    </row>
    <row r="29" spans="2:19" ht="23.1" customHeight="1" x14ac:dyDescent="0.25">
      <c r="C29" s="2"/>
      <c r="D29" s="2"/>
      <c r="R29"/>
      <c r="S29"/>
    </row>
    <row r="30" spans="2:19" ht="23.1" customHeight="1" x14ac:dyDescent="0.25">
      <c r="C30" s="2"/>
      <c r="D30" s="2"/>
      <c r="R30"/>
      <c r="S30"/>
    </row>
    <row r="31" spans="2:19" ht="23.1" customHeight="1" x14ac:dyDescent="0.25">
      <c r="C31" s="2"/>
      <c r="D31" s="2"/>
      <c r="R31"/>
      <c r="S31"/>
    </row>
    <row r="32" spans="2:19" ht="23.1" customHeight="1" x14ac:dyDescent="0.25">
      <c r="C32" s="2"/>
      <c r="D32" s="2"/>
      <c r="R32"/>
      <c r="S32"/>
    </row>
    <row r="33" spans="3:19" ht="23.1" customHeight="1" x14ac:dyDescent="0.25">
      <c r="C33" s="2"/>
      <c r="D33" s="2"/>
      <c r="R33"/>
      <c r="S33"/>
    </row>
    <row r="34" spans="3:19" ht="23.1" customHeight="1" x14ac:dyDescent="0.25">
      <c r="C34" s="2"/>
      <c r="D34" s="2"/>
      <c r="R34"/>
      <c r="S34"/>
    </row>
    <row r="35" spans="3:19" ht="23.1" customHeight="1" x14ac:dyDescent="0.25">
      <c r="C35" s="2"/>
      <c r="D35" s="2"/>
      <c r="R35"/>
      <c r="S35"/>
    </row>
    <row r="36" spans="3:19" ht="23.1" customHeight="1" x14ac:dyDescent="0.25">
      <c r="C36" s="2"/>
      <c r="D36" s="2"/>
      <c r="R36"/>
      <c r="S36"/>
    </row>
    <row r="37" spans="3:19" ht="23.1" customHeight="1" x14ac:dyDescent="0.25">
      <c r="C37" s="2"/>
      <c r="D37" s="2"/>
      <c r="R37"/>
      <c r="S37"/>
    </row>
    <row r="38" spans="3:19" ht="23.1" customHeight="1" x14ac:dyDescent="0.25">
      <c r="C38" s="2"/>
      <c r="D38" s="2"/>
      <c r="R38"/>
      <c r="S38"/>
    </row>
    <row r="39" spans="3:19" ht="23.1" customHeight="1" x14ac:dyDescent="0.25">
      <c r="C39" s="2"/>
      <c r="D39" s="2"/>
      <c r="R39"/>
      <c r="S39"/>
    </row>
    <row r="40" spans="3:19" ht="23.1" customHeight="1" x14ac:dyDescent="0.25">
      <c r="C40" s="2"/>
      <c r="D40" s="2"/>
      <c r="R40"/>
      <c r="S40"/>
    </row>
    <row r="41" spans="3:19" ht="23.1" customHeight="1" x14ac:dyDescent="0.25">
      <c r="C41" s="2"/>
      <c r="D41" s="2"/>
      <c r="R41"/>
      <c r="S41"/>
    </row>
    <row r="42" spans="3:19" ht="23.1" customHeight="1" x14ac:dyDescent="0.25">
      <c r="C42" s="2"/>
      <c r="D42" s="2"/>
      <c r="R42"/>
      <c r="S42"/>
    </row>
    <row r="43" spans="3:19" ht="23.1" customHeight="1" x14ac:dyDescent="0.25">
      <c r="C43" s="2"/>
      <c r="D43" s="2"/>
      <c r="R43"/>
      <c r="S43"/>
    </row>
    <row r="44" spans="3:19" ht="23.1" customHeight="1" x14ac:dyDescent="0.25">
      <c r="C44" s="2"/>
      <c r="D44" s="2"/>
      <c r="R44"/>
      <c r="S44"/>
    </row>
    <row r="45" spans="3:19" ht="23.1" customHeight="1" x14ac:dyDescent="0.25">
      <c r="C45" s="2"/>
      <c r="D45" s="2"/>
      <c r="R45"/>
      <c r="S45"/>
    </row>
    <row r="46" spans="3:19" ht="23.1" customHeight="1" x14ac:dyDescent="0.25">
      <c r="C46" s="2"/>
      <c r="D46" s="2"/>
      <c r="R46"/>
      <c r="S46"/>
    </row>
    <row r="47" spans="3:19" ht="23.1" customHeight="1" x14ac:dyDescent="0.25">
      <c r="C47" s="2"/>
      <c r="D47" s="2"/>
      <c r="R47"/>
      <c r="S47"/>
    </row>
    <row r="48" spans="3:19" ht="23.1" customHeight="1" x14ac:dyDescent="0.25">
      <c r="C48" s="2"/>
      <c r="D48" s="2"/>
      <c r="R48"/>
      <c r="S48"/>
    </row>
    <row r="49" spans="3:19" ht="23.1" customHeight="1" x14ac:dyDescent="0.25">
      <c r="C49" s="2"/>
      <c r="D49" s="2"/>
      <c r="R49"/>
      <c r="S49"/>
    </row>
    <row r="50" spans="3:19" ht="23.1" customHeight="1" x14ac:dyDescent="0.25">
      <c r="C50" s="2"/>
      <c r="D50" s="2"/>
      <c r="R50"/>
      <c r="S50"/>
    </row>
    <row r="51" spans="3:19" ht="23.1" customHeight="1" x14ac:dyDescent="0.25">
      <c r="C51" s="2"/>
      <c r="D51" s="2"/>
      <c r="R51"/>
      <c r="S51"/>
    </row>
    <row r="52" spans="3:19" ht="23.1" customHeight="1" x14ac:dyDescent="0.25">
      <c r="C52" s="2"/>
      <c r="D52" s="2"/>
      <c r="R52"/>
      <c r="S52"/>
    </row>
    <row r="53" spans="3:19" ht="23.1" customHeight="1" x14ac:dyDescent="0.25">
      <c r="C53" s="2"/>
      <c r="D53" s="2"/>
      <c r="R53"/>
      <c r="S53"/>
    </row>
    <row r="54" spans="3:19" ht="23.1" customHeight="1" x14ac:dyDescent="0.25">
      <c r="C54" s="2"/>
      <c r="D54" s="2"/>
      <c r="R54"/>
      <c r="S54"/>
    </row>
    <row r="55" spans="3:19" ht="23.1" customHeight="1" x14ac:dyDescent="0.25">
      <c r="C55" s="2"/>
      <c r="D55" s="2"/>
      <c r="R55"/>
      <c r="S55"/>
    </row>
    <row r="56" spans="3:19" ht="23.1" customHeight="1" x14ac:dyDescent="0.25">
      <c r="C56" s="2"/>
      <c r="D56" s="2"/>
      <c r="R56"/>
      <c r="S56"/>
    </row>
    <row r="57" spans="3:19" ht="23.1" customHeight="1" x14ac:dyDescent="0.25">
      <c r="C57" s="2"/>
      <c r="D57" s="2"/>
      <c r="R57"/>
      <c r="S57"/>
    </row>
    <row r="58" spans="3:19" ht="23.1" customHeight="1" x14ac:dyDescent="0.25">
      <c r="C58" s="2"/>
      <c r="D58" s="2"/>
      <c r="R58"/>
      <c r="S58"/>
    </row>
    <row r="59" spans="3:19" ht="23.1" customHeight="1" x14ac:dyDescent="0.25">
      <c r="C59" s="2"/>
      <c r="D59" s="2"/>
      <c r="R59"/>
      <c r="S59"/>
    </row>
    <row r="60" spans="3:19" ht="23.1" customHeight="1" x14ac:dyDescent="0.25">
      <c r="C60" s="2"/>
      <c r="D60" s="2"/>
      <c r="R60"/>
      <c r="S60"/>
    </row>
    <row r="61" spans="3:19" ht="23.1" customHeight="1" x14ac:dyDescent="0.25">
      <c r="C61" s="2"/>
      <c r="D61" s="2"/>
      <c r="R61"/>
      <c r="S61"/>
    </row>
    <row r="62" spans="3:19" ht="23.1" customHeight="1" x14ac:dyDescent="0.25">
      <c r="C62" s="2"/>
      <c r="D62" s="2"/>
      <c r="R62"/>
      <c r="S62"/>
    </row>
    <row r="63" spans="3:19" ht="23.1" customHeight="1" x14ac:dyDescent="0.25">
      <c r="C63" s="2"/>
      <c r="D63" s="2"/>
      <c r="R63"/>
      <c r="S63"/>
    </row>
    <row r="64" spans="3:19" ht="23.1" customHeight="1" x14ac:dyDescent="0.25">
      <c r="C64" s="2"/>
      <c r="D64" s="2"/>
      <c r="R64"/>
      <c r="S64"/>
    </row>
    <row r="65" spans="3:19" ht="23.1" customHeight="1" x14ac:dyDescent="0.25">
      <c r="C65" s="2"/>
      <c r="D65" s="2"/>
      <c r="R65"/>
      <c r="S65"/>
    </row>
    <row r="66" spans="3:19" ht="23.1" customHeight="1" x14ac:dyDescent="0.25">
      <c r="C66" s="2"/>
      <c r="D66" s="2"/>
      <c r="R66"/>
      <c r="S66"/>
    </row>
    <row r="67" spans="3:19" ht="23.1" customHeight="1" x14ac:dyDescent="0.25">
      <c r="C67" s="2"/>
      <c r="D67" s="2"/>
      <c r="R67"/>
      <c r="S67"/>
    </row>
    <row r="68" spans="3:19" ht="23.1" customHeight="1" x14ac:dyDescent="0.25">
      <c r="C68" s="2"/>
      <c r="D68" s="2"/>
      <c r="R68"/>
      <c r="S68"/>
    </row>
    <row r="69" spans="3:19" ht="23.1" customHeight="1" x14ac:dyDescent="0.25">
      <c r="C69" s="2"/>
      <c r="D69" s="2"/>
      <c r="R69"/>
      <c r="S69"/>
    </row>
    <row r="70" spans="3:19" ht="23.1" customHeight="1" x14ac:dyDescent="0.25">
      <c r="C70" s="2"/>
      <c r="D70" s="2"/>
      <c r="R70"/>
      <c r="S70"/>
    </row>
    <row r="71" spans="3:19" ht="23.1" customHeight="1" x14ac:dyDescent="0.25">
      <c r="C71" s="2"/>
      <c r="D71" s="2"/>
      <c r="R71"/>
      <c r="S71"/>
    </row>
    <row r="72" spans="3:19" ht="23.1" customHeight="1" x14ac:dyDescent="0.25">
      <c r="C72" s="2"/>
      <c r="D72" s="2"/>
      <c r="R72"/>
      <c r="S72"/>
    </row>
    <row r="73" spans="3:19" ht="23.1" customHeight="1" x14ac:dyDescent="0.25">
      <c r="C73" s="2"/>
      <c r="D73" s="2"/>
      <c r="R73"/>
      <c r="S73"/>
    </row>
    <row r="74" spans="3:19" ht="23.1" customHeight="1" x14ac:dyDescent="0.25">
      <c r="C74" s="2"/>
      <c r="D74" s="2"/>
      <c r="R74"/>
      <c r="S74"/>
    </row>
    <row r="75" spans="3:19" ht="23.1" customHeight="1" x14ac:dyDescent="0.25">
      <c r="C75" s="2"/>
      <c r="D75" s="2"/>
      <c r="R75"/>
      <c r="S75"/>
    </row>
    <row r="76" spans="3:19" ht="23.1" customHeight="1" x14ac:dyDescent="0.25">
      <c r="C76" s="2"/>
      <c r="D76" s="2"/>
      <c r="R76"/>
      <c r="S76"/>
    </row>
    <row r="77" spans="3:19" ht="23.1" customHeight="1" x14ac:dyDescent="0.25">
      <c r="C77" s="2"/>
      <c r="D77" s="2"/>
      <c r="R77"/>
      <c r="S77"/>
    </row>
    <row r="78" spans="3:19" ht="23.1" customHeight="1" x14ac:dyDescent="0.25">
      <c r="C78" s="2"/>
      <c r="D78" s="2"/>
      <c r="R78"/>
      <c r="S78"/>
    </row>
    <row r="79" spans="3:19" ht="23.1" customHeight="1" x14ac:dyDescent="0.25">
      <c r="C79" s="2"/>
      <c r="D79" s="2"/>
      <c r="R79"/>
      <c r="S79"/>
    </row>
    <row r="80" spans="3:19" ht="23.1" customHeight="1" x14ac:dyDescent="0.25">
      <c r="C80" s="2"/>
      <c r="D80" s="2"/>
      <c r="R80"/>
      <c r="S80"/>
    </row>
    <row r="81" spans="3:19" ht="23.1" customHeight="1" x14ac:dyDescent="0.25">
      <c r="C81" s="2"/>
      <c r="D81" s="2"/>
      <c r="R81"/>
      <c r="S81"/>
    </row>
    <row r="82" spans="3:19" ht="23.1" customHeight="1" x14ac:dyDescent="0.25">
      <c r="C82" s="2"/>
      <c r="D82" s="2"/>
      <c r="R82"/>
      <c r="S82"/>
    </row>
    <row r="83" spans="3:19" ht="23.1" customHeight="1" x14ac:dyDescent="0.25">
      <c r="C83" s="2"/>
      <c r="D83" s="2"/>
      <c r="R83"/>
      <c r="S83"/>
    </row>
    <row r="84" spans="3:19" ht="23.1" customHeight="1" x14ac:dyDescent="0.25">
      <c r="C84" s="2"/>
      <c r="D84" s="2"/>
      <c r="R84"/>
      <c r="S84"/>
    </row>
    <row r="85" spans="3:19" ht="23.1" customHeight="1" x14ac:dyDescent="0.25">
      <c r="C85" s="2"/>
      <c r="D85" s="2"/>
      <c r="R85"/>
      <c r="S85"/>
    </row>
    <row r="86" spans="3:19" ht="23.1" customHeight="1" x14ac:dyDescent="0.25">
      <c r="C86" s="13"/>
      <c r="Q86" s="2"/>
      <c r="S86"/>
    </row>
    <row r="87" spans="3:19" ht="23.1" customHeight="1" x14ac:dyDescent="0.25">
      <c r="C87" s="13"/>
      <c r="Q87" s="2"/>
      <c r="S87"/>
    </row>
    <row r="88" spans="3:19" ht="23.1" customHeight="1" x14ac:dyDescent="0.25">
      <c r="C88" s="13"/>
    </row>
    <row r="89" spans="3:19" ht="23.1" customHeight="1" x14ac:dyDescent="0.25">
      <c r="C89" s="13"/>
    </row>
    <row r="90" spans="3:19" ht="23.1" customHeight="1" x14ac:dyDescent="0.25"/>
    <row r="91" spans="3:19" ht="23.1" customHeight="1" x14ac:dyDescent="0.25"/>
    <row r="92" spans="3:19" ht="23.1" customHeight="1" x14ac:dyDescent="0.25"/>
    <row r="93" spans="3:19" ht="23.1" customHeight="1" x14ac:dyDescent="0.25"/>
    <row r="94" spans="3:19" ht="23.1" customHeight="1" x14ac:dyDescent="0.25"/>
    <row r="95" spans="3:19" ht="23.1" customHeight="1" x14ac:dyDescent="0.25"/>
    <row r="96" spans="3:19" ht="23.1" customHeight="1" x14ac:dyDescent="0.25"/>
    <row r="97" ht="23.1" customHeight="1" x14ac:dyDescent="0.25"/>
    <row r="98" ht="23.1" customHeight="1" x14ac:dyDescent="0.25"/>
    <row r="99" ht="23.1" customHeight="1" x14ac:dyDescent="0.25"/>
    <row r="100" ht="23.1" customHeight="1" x14ac:dyDescent="0.25"/>
    <row r="101" ht="23.1" customHeight="1" x14ac:dyDescent="0.25"/>
    <row r="102" ht="23.1" customHeight="1" x14ac:dyDescent="0.25"/>
    <row r="103" ht="23.1" customHeight="1" x14ac:dyDescent="0.25"/>
    <row r="104" ht="23.1" customHeight="1" x14ac:dyDescent="0.25"/>
    <row r="105" ht="23.1" customHeight="1" x14ac:dyDescent="0.25"/>
    <row r="106" ht="23.1" customHeight="1" x14ac:dyDescent="0.25"/>
    <row r="107" ht="23.1" customHeight="1" x14ac:dyDescent="0.25"/>
    <row r="108" ht="23.1" customHeight="1" x14ac:dyDescent="0.25"/>
    <row r="109" ht="23.1" customHeight="1" x14ac:dyDescent="0.25"/>
    <row r="110" ht="23.1" customHeight="1" x14ac:dyDescent="0.25"/>
    <row r="111" ht="23.1" customHeight="1" x14ac:dyDescent="0.25"/>
    <row r="112" ht="23.1" customHeight="1" x14ac:dyDescent="0.25"/>
    <row r="113" ht="23.1" customHeight="1" x14ac:dyDescent="0.25"/>
    <row r="114" ht="23.1" customHeight="1" x14ac:dyDescent="0.25"/>
    <row r="115" ht="23.1" customHeight="1" x14ac:dyDescent="0.25"/>
    <row r="116" ht="23.1" customHeight="1" x14ac:dyDescent="0.25"/>
    <row r="117" ht="23.1" customHeight="1" x14ac:dyDescent="0.25"/>
    <row r="118" ht="23.1" customHeight="1" x14ac:dyDescent="0.25"/>
    <row r="119" ht="23.1" customHeight="1" x14ac:dyDescent="0.25"/>
    <row r="120" ht="23.1" customHeight="1" x14ac:dyDescent="0.25"/>
    <row r="121" ht="23.1" customHeight="1" x14ac:dyDescent="0.25"/>
    <row r="122" ht="23.1" customHeight="1" x14ac:dyDescent="0.25"/>
    <row r="123" ht="23.1" customHeight="1" x14ac:dyDescent="0.25"/>
    <row r="124" ht="23.1" customHeight="1" x14ac:dyDescent="0.25"/>
    <row r="125" ht="23.1" customHeight="1" x14ac:dyDescent="0.25"/>
    <row r="126" ht="23.1" customHeight="1" x14ac:dyDescent="0.25"/>
    <row r="127" ht="23.1" customHeight="1" x14ac:dyDescent="0.25"/>
    <row r="128" ht="23.1" customHeight="1" x14ac:dyDescent="0.25"/>
    <row r="129" ht="23.1" customHeight="1" x14ac:dyDescent="0.25"/>
    <row r="130" ht="23.1" customHeight="1" x14ac:dyDescent="0.25"/>
    <row r="131" ht="23.1" customHeight="1" x14ac:dyDescent="0.25"/>
    <row r="132" ht="23.1" customHeight="1" x14ac:dyDescent="0.25"/>
    <row r="133" ht="23.1" customHeight="1" x14ac:dyDescent="0.25"/>
    <row r="134" ht="23.1" customHeight="1" x14ac:dyDescent="0.25"/>
    <row r="135" ht="23.1" customHeight="1" x14ac:dyDescent="0.25"/>
    <row r="136" ht="23.1" customHeight="1" x14ac:dyDescent="0.25"/>
    <row r="137" ht="23.1" customHeight="1" x14ac:dyDescent="0.25"/>
    <row r="138" ht="23.1" customHeight="1" x14ac:dyDescent="0.25"/>
    <row r="139" ht="23.1" customHeight="1" x14ac:dyDescent="0.25"/>
    <row r="140" ht="23.1" customHeight="1" x14ac:dyDescent="0.25"/>
    <row r="141" ht="23.1" customHeight="1" x14ac:dyDescent="0.25"/>
    <row r="142" ht="23.1" customHeight="1" x14ac:dyDescent="0.25"/>
    <row r="143" ht="23.1" customHeight="1" x14ac:dyDescent="0.25"/>
    <row r="144" ht="23.1" customHeight="1" x14ac:dyDescent="0.25"/>
    <row r="145" ht="23.1" customHeight="1" x14ac:dyDescent="0.25"/>
    <row r="146" ht="23.1" customHeight="1" x14ac:dyDescent="0.25"/>
    <row r="147" ht="23.1" customHeight="1" x14ac:dyDescent="0.25"/>
    <row r="148" ht="23.1" customHeight="1" x14ac:dyDescent="0.25"/>
    <row r="149" ht="23.1" customHeight="1" x14ac:dyDescent="0.25"/>
    <row r="150" ht="23.1" customHeight="1" x14ac:dyDescent="0.25"/>
    <row r="151" ht="23.1" customHeight="1" x14ac:dyDescent="0.25"/>
  </sheetData>
  <mergeCells count="10">
    <mergeCell ref="B1:P1"/>
    <mergeCell ref="B2:P2"/>
    <mergeCell ref="C8:P8"/>
    <mergeCell ref="D5:E5"/>
    <mergeCell ref="C3:F3"/>
    <mergeCell ref="G5:H5"/>
    <mergeCell ref="K5:L5"/>
    <mergeCell ref="D6:E6"/>
    <mergeCell ref="G6:H6"/>
    <mergeCell ref="K6:L6"/>
  </mergeCells>
  <pageMargins left="0" right="0" top="0" bottom="0" header="0.15748031496062992" footer="0.11811023622047245"/>
  <pageSetup paperSize="9" scale="4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21.01 MITYANA RBT-SENTEMA RBT</vt:lpstr>
      <vt:lpstr>21.01 SENTEMA RBT-MITYAN RBT</vt:lpstr>
      <vt:lpstr>21.01 SENTEMA-MITYANA 2DIR</vt:lpstr>
      <vt:lpstr>'21.01 MITYANA RBT-SENTEMA RBT'!Print_Area</vt:lpstr>
      <vt:lpstr>'21.01 SENTEMA RBT-MITYAN RBT'!Print_Area</vt:lpstr>
      <vt:lpstr>'21.01 SENTEMA-MITYANA 2DIR'!Print_Area</vt:lpstr>
      <vt:lpstr>'21.01 MITYANA RBT-SENTEMA RBT'!Print_Titles</vt:lpstr>
      <vt:lpstr>'21.01 SENTEMA RBT-MITYAN RBT'!Print_Titles</vt:lpstr>
      <vt:lpstr>'21.01 SENTEMA-MITYANA 2DIR'!Print_Titles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MR.O</dc:creator>
  <cp:lastModifiedBy>USER</cp:lastModifiedBy>
  <cp:lastPrinted>2020-03-20T10:34:34Z</cp:lastPrinted>
  <dcterms:created xsi:type="dcterms:W3CDTF">2020-02-14T20:49:42Z</dcterms:created>
  <dcterms:modified xsi:type="dcterms:W3CDTF">2020-03-24T10:24:41Z</dcterms:modified>
</cp:coreProperties>
</file>