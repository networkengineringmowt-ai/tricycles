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ing Folder\EDMP\Analysed Data\New 170320\ATC\"/>
    </mc:Choice>
  </mc:AlternateContent>
  <xr:revisionPtr revIDLastSave="0" documentId="13_ncr:1_{4FB91CC6-2886-4FFC-818A-E4FD1E869F4F}" xr6:coauthVersionLast="45" xr6:coauthVersionMax="45" xr10:uidLastSave="{00000000-0000-0000-0000-000000000000}"/>
  <bookViews>
    <workbookView xWindow="-120" yWindow="-120" windowWidth="20730" windowHeight="11160" firstSheet="1" activeTab="2" xr2:uid="{00000000-000D-0000-FFFF-FFFF00000000}"/>
  </bookViews>
  <sheets>
    <sheet name="21-28-SENTEMA RBT-HOIMA RBT" sheetId="1" r:id="rId1"/>
    <sheet name="21-28-HOIMA RBT-SENTEMA RBT" sheetId="2" r:id="rId2"/>
    <sheet name="SENTEMA RBT-HOIMA RBT - 2DIR" sheetId="3" r:id="rId3"/>
  </sheets>
  <externalReferences>
    <externalReference r:id="rId4"/>
  </externalReferences>
  <definedNames>
    <definedName name="_xlnm.Print_Area" localSheetId="1">'21-28-HOIMA RBT-SENTEMA RBT'!$A$1:$W$58</definedName>
    <definedName name="_xlnm.Print_Area" localSheetId="0">'21-28-SENTEMA RBT-HOIMA RBT'!$A$1:$W$58</definedName>
    <definedName name="_xlnm.Print_Area" localSheetId="2">'SENTEMA RBT-HOIMA RBT - 2DIR'!$A$1:$W$58</definedName>
    <definedName name="_xlnm.Print_Titles" localSheetId="1">'21-28-HOIMA RBT-SENTEMA RBT'!$1:$8</definedName>
    <definedName name="_xlnm.Print_Titles" localSheetId="0">'21-28-SENTEMA RBT-HOIMA RBT'!$1:$8</definedName>
    <definedName name="_xlnm.Print_Titles" localSheetId="2">'SENTEMA RBT-HOIMA RBT - 2DIR'!$1:$8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C13" i="3" l="1"/>
  <c r="AC16" i="3" s="1"/>
  <c r="AB13" i="3"/>
  <c r="AB14" i="3" s="1"/>
  <c r="AB15" i="3" l="1"/>
  <c r="AC15" i="3"/>
  <c r="AC14" i="3"/>
  <c r="AB16" i="3"/>
  <c r="D11" i="1" l="1"/>
  <c r="E11" i="1"/>
  <c r="F11" i="1"/>
  <c r="G11" i="1"/>
  <c r="H11" i="1"/>
  <c r="I11" i="1"/>
  <c r="J11" i="1"/>
  <c r="K11" i="1"/>
  <c r="L11" i="1"/>
  <c r="M11" i="1"/>
  <c r="N11" i="1"/>
  <c r="D12" i="1"/>
  <c r="E12" i="1"/>
  <c r="F12" i="1"/>
  <c r="G12" i="1"/>
  <c r="H12" i="1"/>
  <c r="I12" i="1"/>
  <c r="J12" i="1"/>
  <c r="K12" i="1"/>
  <c r="L12" i="1"/>
  <c r="M12" i="1"/>
  <c r="N12" i="1"/>
  <c r="D13" i="1"/>
  <c r="E13" i="1"/>
  <c r="F13" i="1"/>
  <c r="G13" i="1"/>
  <c r="H13" i="1"/>
  <c r="I13" i="1"/>
  <c r="J13" i="1"/>
  <c r="K13" i="1"/>
  <c r="L13" i="1"/>
  <c r="M13" i="1"/>
  <c r="N13" i="1"/>
  <c r="D14" i="1"/>
  <c r="E14" i="1"/>
  <c r="F14" i="1"/>
  <c r="G14" i="1"/>
  <c r="H14" i="1"/>
  <c r="I14" i="1"/>
  <c r="J14" i="1"/>
  <c r="K14" i="1"/>
  <c r="L14" i="1"/>
  <c r="M14" i="1"/>
  <c r="N14" i="1"/>
  <c r="D15" i="1"/>
  <c r="E15" i="1"/>
  <c r="F15" i="1"/>
  <c r="G15" i="1"/>
  <c r="H15" i="1"/>
  <c r="I15" i="1"/>
  <c r="J15" i="1"/>
  <c r="K15" i="1"/>
  <c r="L15" i="1"/>
  <c r="M15" i="1"/>
  <c r="N15" i="1"/>
  <c r="D16" i="1"/>
  <c r="E16" i="1"/>
  <c r="F16" i="1"/>
  <c r="G16" i="1"/>
  <c r="H16" i="1"/>
  <c r="I16" i="1"/>
  <c r="J16" i="1"/>
  <c r="K16" i="1"/>
  <c r="L16" i="1"/>
  <c r="M16" i="1"/>
  <c r="N16" i="1"/>
  <c r="E10" i="1"/>
  <c r="F10" i="1"/>
  <c r="G10" i="1"/>
  <c r="H10" i="1"/>
  <c r="I10" i="1"/>
  <c r="J10" i="1"/>
  <c r="K10" i="1"/>
  <c r="L10" i="1"/>
  <c r="M10" i="1"/>
  <c r="N10" i="1"/>
  <c r="D11" i="2"/>
  <c r="E11" i="2"/>
  <c r="F11" i="2"/>
  <c r="G11" i="2"/>
  <c r="H11" i="2"/>
  <c r="I11" i="2"/>
  <c r="J11" i="2"/>
  <c r="K11" i="2"/>
  <c r="L11" i="2"/>
  <c r="M11" i="2"/>
  <c r="N11" i="2"/>
  <c r="D12" i="2"/>
  <c r="E12" i="2"/>
  <c r="F12" i="2"/>
  <c r="G12" i="2"/>
  <c r="H12" i="2"/>
  <c r="I12" i="2"/>
  <c r="J12" i="2"/>
  <c r="K12" i="2"/>
  <c r="L12" i="2"/>
  <c r="M12" i="2"/>
  <c r="N12" i="2"/>
  <c r="D13" i="2"/>
  <c r="E13" i="2"/>
  <c r="F13" i="2"/>
  <c r="G13" i="2"/>
  <c r="H13" i="2"/>
  <c r="I13" i="2"/>
  <c r="J13" i="2"/>
  <c r="K13" i="2"/>
  <c r="L13" i="2"/>
  <c r="M13" i="2"/>
  <c r="N13" i="2"/>
  <c r="D14" i="2"/>
  <c r="E14" i="2"/>
  <c r="F14" i="2"/>
  <c r="G14" i="2"/>
  <c r="H14" i="2"/>
  <c r="I14" i="2"/>
  <c r="J14" i="2"/>
  <c r="K14" i="2"/>
  <c r="L14" i="2"/>
  <c r="M14" i="2"/>
  <c r="N14" i="2"/>
  <c r="D15" i="2"/>
  <c r="E15" i="2"/>
  <c r="F15" i="2"/>
  <c r="G15" i="2"/>
  <c r="H15" i="2"/>
  <c r="I15" i="2"/>
  <c r="J15" i="2"/>
  <c r="K15" i="2"/>
  <c r="L15" i="2"/>
  <c r="M15" i="2"/>
  <c r="N15" i="2"/>
  <c r="D16" i="2"/>
  <c r="E16" i="2"/>
  <c r="F16" i="2"/>
  <c r="G16" i="2"/>
  <c r="H16" i="2"/>
  <c r="I16" i="2"/>
  <c r="J16" i="2"/>
  <c r="K16" i="2"/>
  <c r="L16" i="2"/>
  <c r="M16" i="2"/>
  <c r="N16" i="2"/>
  <c r="E10" i="2"/>
  <c r="F10" i="2"/>
  <c r="G10" i="2"/>
  <c r="H10" i="2"/>
  <c r="I10" i="2"/>
  <c r="J10" i="2"/>
  <c r="K10" i="2"/>
  <c r="L10" i="2"/>
  <c r="M10" i="2"/>
  <c r="N10" i="2"/>
  <c r="D10" i="2"/>
  <c r="D10" i="1"/>
  <c r="C10" i="3" l="1"/>
  <c r="C11" i="3" l="1"/>
  <c r="D11" i="3"/>
  <c r="E11" i="3"/>
  <c r="F11" i="3"/>
  <c r="G11" i="3"/>
  <c r="H11" i="3"/>
  <c r="I11" i="3"/>
  <c r="J11" i="3"/>
  <c r="K11" i="3"/>
  <c r="L11" i="3"/>
  <c r="M11" i="3"/>
  <c r="N11" i="3"/>
  <c r="C12" i="3"/>
  <c r="D12" i="3"/>
  <c r="E12" i="3"/>
  <c r="F12" i="3"/>
  <c r="G12" i="3"/>
  <c r="H12" i="3"/>
  <c r="I12" i="3"/>
  <c r="J12" i="3"/>
  <c r="K12" i="3"/>
  <c r="L12" i="3"/>
  <c r="M12" i="3"/>
  <c r="N12" i="3"/>
  <c r="C13" i="3"/>
  <c r="D13" i="3"/>
  <c r="E13" i="3"/>
  <c r="F13" i="3"/>
  <c r="G13" i="3"/>
  <c r="H13" i="3"/>
  <c r="I13" i="3"/>
  <c r="J13" i="3"/>
  <c r="O13" i="3" s="1"/>
  <c r="K13" i="3"/>
  <c r="L13" i="3"/>
  <c r="M13" i="3"/>
  <c r="N13" i="3"/>
  <c r="C14" i="3"/>
  <c r="D14" i="3"/>
  <c r="E14" i="3"/>
  <c r="F14" i="3"/>
  <c r="G14" i="3"/>
  <c r="H14" i="3"/>
  <c r="I14" i="3"/>
  <c r="J14" i="3"/>
  <c r="K14" i="3"/>
  <c r="L14" i="3"/>
  <c r="M14" i="3"/>
  <c r="N14" i="3"/>
  <c r="C15" i="3"/>
  <c r="D15" i="3"/>
  <c r="E15" i="3"/>
  <c r="F15" i="3"/>
  <c r="G15" i="3"/>
  <c r="H15" i="3"/>
  <c r="I15" i="3"/>
  <c r="J15" i="3"/>
  <c r="K15" i="3"/>
  <c r="L15" i="3"/>
  <c r="M15" i="3"/>
  <c r="N15" i="3"/>
  <c r="C16" i="3"/>
  <c r="D16" i="3"/>
  <c r="E16" i="3"/>
  <c r="F16" i="3"/>
  <c r="F17" i="3" s="1"/>
  <c r="G16" i="3"/>
  <c r="H16" i="3"/>
  <c r="I16" i="3"/>
  <c r="J16" i="3"/>
  <c r="K16" i="3"/>
  <c r="L16" i="3"/>
  <c r="M16" i="3"/>
  <c r="N16" i="3"/>
  <c r="D10" i="3"/>
  <c r="E10" i="3"/>
  <c r="F10" i="3"/>
  <c r="G10" i="3"/>
  <c r="H10" i="3"/>
  <c r="I10" i="3"/>
  <c r="O10" i="3" s="1"/>
  <c r="J10" i="3"/>
  <c r="K10" i="3"/>
  <c r="L10" i="3"/>
  <c r="M10" i="3"/>
  <c r="N10" i="3"/>
  <c r="D17" i="3"/>
  <c r="N17" i="3" l="1"/>
  <c r="P16" i="3"/>
  <c r="P12" i="3"/>
  <c r="P13" i="3"/>
  <c r="O12" i="3"/>
  <c r="M17" i="3"/>
  <c r="E17" i="3"/>
  <c r="O16" i="3"/>
  <c r="O15" i="3"/>
  <c r="O14" i="3"/>
  <c r="L17" i="3"/>
  <c r="O11" i="3"/>
  <c r="P15" i="3"/>
  <c r="P14" i="3"/>
  <c r="G17" i="3"/>
  <c r="P11" i="3"/>
  <c r="J17" i="3"/>
  <c r="K17" i="3"/>
  <c r="H17" i="3"/>
  <c r="P10" i="3"/>
  <c r="I17" i="3"/>
  <c r="C17" i="3"/>
  <c r="N17" i="2"/>
  <c r="M17" i="2"/>
  <c r="L17" i="2"/>
  <c r="K17" i="2"/>
  <c r="J17" i="2"/>
  <c r="I17" i="2"/>
  <c r="H17" i="2"/>
  <c r="G17" i="2"/>
  <c r="F17" i="2"/>
  <c r="E17" i="2"/>
  <c r="D17" i="2"/>
  <c r="C17" i="2"/>
  <c r="P16" i="2"/>
  <c r="P15" i="2"/>
  <c r="P14" i="2"/>
  <c r="P13" i="2"/>
  <c r="P12" i="2"/>
  <c r="P11" i="2"/>
  <c r="P10" i="2"/>
  <c r="P11" i="1"/>
  <c r="P12" i="1"/>
  <c r="P13" i="1"/>
  <c r="P14" i="1"/>
  <c r="P15" i="1"/>
  <c r="P16" i="1"/>
  <c r="P10" i="1"/>
  <c r="D17" i="1"/>
  <c r="E17" i="1"/>
  <c r="F17" i="1"/>
  <c r="G17" i="1"/>
  <c r="H17" i="1"/>
  <c r="I17" i="1"/>
  <c r="J17" i="1"/>
  <c r="K17" i="1"/>
  <c r="L17" i="1"/>
  <c r="M17" i="1"/>
  <c r="N17" i="1"/>
  <c r="C17" i="1"/>
  <c r="P17" i="3" l="1"/>
  <c r="M18" i="3" s="1"/>
  <c r="O17" i="3"/>
  <c r="I19" i="3" s="1"/>
  <c r="L19" i="3"/>
  <c r="N19" i="3"/>
  <c r="F19" i="3"/>
  <c r="G19" i="3"/>
  <c r="M19" i="3"/>
  <c r="H19" i="3"/>
  <c r="D18" i="3"/>
  <c r="N18" i="3"/>
  <c r="F18" i="3"/>
  <c r="D19" i="3"/>
  <c r="I18" i="3"/>
  <c r="J19" i="3"/>
  <c r="H18" i="3"/>
  <c r="P17" i="1"/>
  <c r="C18" i="1" s="1"/>
  <c r="O17" i="1"/>
  <c r="E19" i="1" s="1"/>
  <c r="P17" i="2"/>
  <c r="J18" i="2" s="1"/>
  <c r="O17" i="2"/>
  <c r="G19" i="2" s="1"/>
  <c r="K19" i="3" l="1"/>
  <c r="C18" i="3"/>
  <c r="L18" i="3"/>
  <c r="G18" i="3"/>
  <c r="K18" i="3"/>
  <c r="E18" i="3"/>
  <c r="J18" i="3"/>
  <c r="E19" i="3"/>
  <c r="L19" i="1"/>
  <c r="M19" i="1"/>
  <c r="I19" i="1"/>
  <c r="H19" i="1"/>
  <c r="K19" i="1"/>
  <c r="G19" i="1"/>
  <c r="F19" i="1"/>
  <c r="M18" i="2"/>
  <c r="E18" i="2"/>
  <c r="N18" i="2"/>
  <c r="D19" i="1"/>
  <c r="N19" i="1"/>
  <c r="K19" i="2"/>
  <c r="L19" i="2"/>
  <c r="H19" i="2"/>
  <c r="L18" i="2"/>
  <c r="E19" i="2"/>
  <c r="G18" i="2"/>
  <c r="H18" i="2"/>
  <c r="F19" i="2"/>
  <c r="K18" i="2"/>
  <c r="M19" i="2"/>
  <c r="N19" i="2"/>
  <c r="D19" i="2"/>
  <c r="F18" i="2"/>
  <c r="I18" i="2"/>
  <c r="D18" i="2"/>
  <c r="I19" i="2"/>
  <c r="J19" i="2"/>
  <c r="C18" i="2"/>
  <c r="J19" i="1"/>
  <c r="F18" i="1" l="1"/>
  <c r="E18" i="1" l="1"/>
  <c r="K18" i="1"/>
  <c r="M18" i="1"/>
  <c r="I18" i="1"/>
  <c r="D18" i="1"/>
  <c r="L18" i="1"/>
  <c r="H18" i="1"/>
  <c r="G18" i="1"/>
  <c r="N18" i="1"/>
  <c r="J18" i="1"/>
  <c r="P18" i="1"/>
  <c r="O18" i="1" l="1"/>
</calcChain>
</file>

<file path=xl/sharedStrings.xml><?xml version="1.0" encoding="utf-8"?>
<sst xmlns="http://schemas.openxmlformats.org/spreadsheetml/2006/main" count="123" uniqueCount="46">
  <si>
    <t>Consultancy services for Preparation of Expressway Development Master Plan (EDMP) for Uganda</t>
  </si>
  <si>
    <t>ROAD NAME:</t>
  </si>
  <si>
    <t>Date</t>
  </si>
  <si>
    <t xml:space="preserve">  Location</t>
  </si>
  <si>
    <t>Surveyor</t>
  </si>
  <si>
    <t>Dir. From</t>
  </si>
  <si>
    <t xml:space="preserve">  Dir. To</t>
  </si>
  <si>
    <t>Supervisor</t>
  </si>
  <si>
    <t>Time / Veh Type</t>
  </si>
  <si>
    <t>SUMMARY TRAFFIC VOLUMES</t>
  </si>
  <si>
    <t>Total Excl M/ Cycles</t>
  </si>
  <si>
    <t>%ges + MCs</t>
  </si>
  <si>
    <t>%ges w/o MCs</t>
  </si>
  <si>
    <t>IVAN</t>
  </si>
  <si>
    <t>ATC</t>
  </si>
  <si>
    <t>SENTEMA RBT</t>
  </si>
  <si>
    <t>1.Motorcycles</t>
  </si>
  <si>
    <t>Mon</t>
  </si>
  <si>
    <t>THU</t>
  </si>
  <si>
    <t>FRI</t>
  </si>
  <si>
    <t>SAT</t>
  </si>
  <si>
    <t>TUE</t>
  </si>
  <si>
    <t>WED</t>
  </si>
  <si>
    <t>SUN</t>
  </si>
  <si>
    <t>Average daily volume</t>
  </si>
  <si>
    <t xml:space="preserve"> Total All</t>
  </si>
  <si>
    <t>AUTOMATIC TRAFFIC COUNT (ATC)</t>
  </si>
  <si>
    <t xml:space="preserve">ATC - STN13-NORTHERN BYPASS RD </t>
  </si>
  <si>
    <t>WEEKLY TRAFFIC VOLUMES</t>
  </si>
  <si>
    <t>HOIMA RBT</t>
  </si>
  <si>
    <t xml:space="preserve">ATC - STN16-NORTHERN BYPASS RD </t>
  </si>
  <si>
    <t>21.01.2020 TO 28.01.2020</t>
  </si>
  <si>
    <t>ISAAC MUYINZA</t>
  </si>
  <si>
    <t>ATC BOTH DIRECTIONS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</si>
  <si>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</si>
  <si>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</si>
  <si>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</si>
  <si>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</si>
  <si>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</si>
  <si>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</si>
  <si>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</si>
  <si>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</si>
  <si>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</si>
  <si>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</si>
  <si>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12. Tractors</t>
  </si>
  <si>
    <t>4. Minibus matatu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</si>
</sst>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11"/>
      <color indexed="8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11"/>
      <color theme="0" tint="-0.1499984740745262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7" fillId="0" borderId="0" xfId="0" applyFont="1"/>
    <xf numFmtId="0" fontId="0" fillId="0" borderId="4" xfId="0" applyBorder="1"/>
    <xf numFmtId="0" fontId="10" fillId="2" borderId="1" xfId="0" applyFont="1" applyFill="1" applyBorder="1" applyAlignment="1">
      <alignment horizontal="center" vertical="center" wrapText="1"/>
    </xf>
    <xf numFmtId="1" fontId="0" fillId="0" borderId="4" xfId="0" applyNumberFormat="1" applyBorder="1" applyAlignment="1">
      <alignment horizontal="center"/>
    </xf>
    <xf numFmtId="1" fontId="0" fillId="2" borderId="4" xfId="0" applyNumberFormat="1" applyFill="1" applyBorder="1" applyAlignment="1">
      <alignment horizontal="center"/>
    </xf>
    <xf numFmtId="9" fontId="0" fillId="0" borderId="0" xfId="1" applyFont="1"/>
    <xf numFmtId="1" fontId="2" fillId="0" borderId="6" xfId="0" applyNumberFormat="1" applyFont="1" applyBorder="1" applyAlignment="1">
      <alignment horizontal="center"/>
    </xf>
    <xf numFmtId="1" fontId="2" fillId="2" borderId="4" xfId="0" applyNumberFormat="1" applyFont="1" applyFill="1" applyBorder="1" applyAlignment="1">
      <alignment horizontal="center"/>
    </xf>
    <xf numFmtId="164" fontId="0" fillId="0" borderId="0" xfId="0" applyNumberFormat="1"/>
    <xf numFmtId="0" fontId="9" fillId="0" borderId="4" xfId="0" applyFont="1" applyBorder="1" applyAlignment="1">
      <alignment horizontal="center" vertical="center" wrapText="1"/>
    </xf>
    <xf numFmtId="0" fontId="5" fillId="0" borderId="0" xfId="0" applyFont="1" applyBorder="1" applyAlignment="1"/>
    <xf numFmtId="0" fontId="9" fillId="0" borderId="4" xfId="0" applyFont="1" applyBorder="1" applyAlignment="1">
      <alignment horizontal="left" vertical="center" wrapText="1"/>
    </xf>
    <xf numFmtId="9" fontId="2" fillId="0" borderId="4" xfId="1" applyFont="1" applyBorder="1" applyAlignment="1">
      <alignment horizontal="center"/>
    </xf>
    <xf numFmtId="0" fontId="6" fillId="0" borderId="4" xfId="0" applyFont="1" applyBorder="1" applyAlignment="1">
      <alignment horizontal="left" vertical="center"/>
    </xf>
    <xf numFmtId="0" fontId="6" fillId="0" borderId="4" xfId="0" applyFont="1" applyBorder="1" applyAlignment="1">
      <alignment horizontal="center" vertical="center"/>
    </xf>
    <xf numFmtId="0" fontId="3" fillId="0" borderId="0" xfId="0" applyFont="1" applyAlignment="1"/>
    <xf numFmtId="0" fontId="4" fillId="0" borderId="0" xfId="0" applyFont="1" applyAlignment="1"/>
    <xf numFmtId="1" fontId="0" fillId="0" borderId="4" xfId="0" applyNumberFormat="1" applyBorder="1" applyAlignment="1">
      <alignment horizontal="right"/>
    </xf>
    <xf numFmtId="164" fontId="13" fillId="0" borderId="0" xfId="1" applyNumberFormat="1" applyFont="1" applyAlignment="1">
      <alignment horizontal="center"/>
    </xf>
    <xf numFmtId="164" fontId="13" fillId="0" borderId="0" xfId="1" applyNumberFormat="1" applyFont="1"/>
    <xf numFmtId="0" fontId="2" fillId="0" borderId="4" xfId="0" applyFont="1" applyBorder="1" applyAlignment="1">
      <alignment horizontal="center" vertical="center" wrapText="1"/>
    </xf>
    <xf numFmtId="1" fontId="0" fillId="0" borderId="0" xfId="0" applyNumberFormat="1"/>
    <xf numFmtId="165" fontId="0" fillId="0" borderId="0" xfId="0" applyNumberForma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8" fillId="0" borderId="5" xfId="0" applyFont="1" applyBorder="1" applyAlignment="1">
      <alignment horizontal="center"/>
    </xf>
    <xf numFmtId="0" fontId="0" fillId="0" borderId="4" xfId="0" applyBorder="1" applyAlignment="1">
      <alignment horizontal="left"/>
    </xf>
    <xf numFmtId="0" fontId="5" fillId="0" borderId="4" xfId="0" applyFont="1" applyBorder="1" applyAlignment="1">
      <alignment horizontal="center"/>
    </xf>
    <xf numFmtId="0" fontId="6" fillId="0" borderId="2" xfId="0" applyFont="1" applyBorder="1" applyAlignment="1">
      <alignment horizontal="left" vertical="center" wrapText="1"/>
    </xf>
    <xf numFmtId="0" fontId="6" fillId="0" borderId="3" xfId="0" applyFont="1" applyBorder="1" applyAlignment="1">
      <alignment horizontal="left" vertical="center" wrapText="1"/>
    </xf>
    <xf numFmtId="0" fontId="11" fillId="0" borderId="2" xfId="0" applyFont="1" applyBorder="1" applyAlignment="1">
      <alignment horizontal="left" vertical="center" wrapText="1"/>
    </xf>
    <xf numFmtId="0" fontId="11" fillId="0" borderId="3" xfId="0" applyFont="1" applyBorder="1" applyAlignment="1">
      <alignment horizontal="left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Weekly Traffic Variation </a:t>
            </a:r>
          </a:p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'21-28-SENTEMA RBT-HOIMA RBT'!$O$9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'21-28-SENTEMA RBT-HOIMA RBT'!$B$10:$B$16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'21-28-SENTEMA RBT-HOIMA RBT'!$O$10:$O$16</c:f>
              <c:numCache>
                <c:formatCode>0</c:formatCode>
                <c:ptCount val="7"/>
                <c:pt idx="0">
                  <c:v>15769</c:v>
                </c:pt>
                <c:pt idx="1">
                  <c:v>14160</c:v>
                </c:pt>
                <c:pt idx="2">
                  <c:v>14900</c:v>
                </c:pt>
                <c:pt idx="3">
                  <c:v>14874</c:v>
                </c:pt>
                <c:pt idx="4">
                  <c:v>16351</c:v>
                </c:pt>
                <c:pt idx="5">
                  <c:v>15206</c:v>
                </c:pt>
                <c:pt idx="6">
                  <c:v>15042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32-4FEA-9337-4E2FD7646512}"/>
            </c:ext>
          </c:extLst>
        </c:ser>
        <c:ser>
          <c:idx val="1"/>
          <c:order val="1"/>
          <c:tx>
            <c:strRef>
              <c:f>'21-28-SENTEMA RBT-HOIMA RBT'!$P$9</c:f>
              <c:strCache>
                <c:ptCount val="1"/>
                <c:pt idx="0">
                  <c:v> 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'21-28-SENTEMA RBT-HOIMA RBT'!$B$10:$B$16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'21-28-SENTEMA RBT-HOIMA RBT'!$P$10:$P$16</c:f>
              <c:numCache>
                <c:formatCode>0</c:formatCode>
                <c:ptCount val="7"/>
                <c:pt idx="0">
                  <c:v>25757.999999999996</c:v>
                </c:pt>
                <c:pt idx="1">
                  <c:v>23121.999999999996</c:v>
                </c:pt>
                <c:pt idx="2">
                  <c:v>24227.999999999996</c:v>
                </c:pt>
                <c:pt idx="3">
                  <c:v>24307.999999999993</c:v>
                </c:pt>
                <c:pt idx="4">
                  <c:v>26024</c:v>
                </c:pt>
                <c:pt idx="5">
                  <c:v>24682.999999999996</c:v>
                </c:pt>
                <c:pt idx="6">
                  <c:v>24511.999999999996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32-4FEA-9337-4E2FD76465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2091792"/>
        <c:axId val="802094512"/>
      </c:lineChart>
      <c:catAx>
        <c:axId val="802091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2094512"/>
        <c:crosses val="autoZero"/>
        <c:auto val="1"/>
        <c:lblAlgn val="ctr"/>
        <c:lblOffset val="100"/>
        <c:noMultiLvlLbl val="0"/>
      </c:catAx>
      <c:valAx>
        <c:axId val="802094512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209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Including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66"/>
      <c:depthPercent val="100"/>
      <c:rAngAx val="0"/>
      <c:perspective val="1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7577465720024135E-2"/>
          <c:y val="8.013560502587487E-2"/>
          <c:w val="0.87655985254857882"/>
          <c:h val="0.80325343229815682"/>
        </c:manualLayout>
      </c:layout>
      <c:pie3DChart>
        <c:varyColors val="1"/>
        <c:ser>
          <c:idx val="0"/>
          <c:order val="0"/>
          <c:tx>
            <c:strRef>
              <c:f>'21-28-SENTEMA RBT-HOIMA RBT'!$C$18:$N$18</c:f>
              <c:strCache>
                <c:ptCount val="12"/>
                <c:pt idx="0">
                  <c:v>38%</c:v>
                </c:pt>
                <c:pt idx="1">
                  <c:v>29%</c:v>
                </c:pt>
                <c:pt idx="2">
                  <c:v>4%</c:v>
                </c:pt>
                <c:pt idx="3">
                  <c:v>4%</c:v>
                </c:pt>
                <c:pt idx="4">
                  <c:v>12%</c:v>
                </c:pt>
                <c:pt idx="5">
                  <c:v>1%</c:v>
                </c:pt>
                <c:pt idx="6">
                  <c:v>0%</c:v>
                </c:pt>
                <c:pt idx="7">
                  <c:v>5%</c:v>
                </c:pt>
                <c:pt idx="8">
                  <c:v>4%</c:v>
                </c:pt>
                <c:pt idx="9">
                  <c:v>2%</c:v>
                </c:pt>
                <c:pt idx="10">
                  <c:v>2%</c:v>
                </c:pt>
                <c:pt idx="11">
                  <c:v>0%</c:v>
                </c:pt>
              </c:strCache>
            </c:strRef>
          </c:tx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458-40FA-AC31-D48FDE46438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458-40FA-AC31-D48FDE46438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458-40FA-AC31-D48FDE46438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458-40FA-AC31-D48FDE46438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458-40FA-AC31-D48FDE46438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458-40FA-AC31-D48FDE46438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458-40FA-AC31-D48FDE46438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458-40FA-AC31-D48FDE46438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458-40FA-AC31-D48FDE46438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458-40FA-AC31-D48FDE46438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458-40FA-AC31-D48FDE46438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458-40FA-AC31-D48FDE46438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458-40FA-AC31-D48FDE46438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'21-28-SENTEMA RBT-HOIMA RBT'!$C$9:$N$9</c:f>
              <c:strCache>
                <c:ptCount val="12"/>
                <c:pt idx="0">
                  <c:v>1.Motorcycles</c:v>
                </c:pt>
                <c:pt idx="1">
                  <c:v>1. Car</c:v>
                </c:pt>
                <c:pt idx="2">
                  <c:v>2. Station Wagon</c:v>
                </c:pt>
                <c:pt idx="3">
                  <c:v>3. Pickups</c:v>
                </c:pt>
                <c:pt idx="4">
                  <c:v>4. Minibus, matatu</c:v>
                </c:pt>
                <c:pt idx="5">
                  <c:v>5. Medium bus </c:v>
                </c:pt>
                <c:pt idx="6">
                  <c:v>6. Large Bus</c:v>
                </c:pt>
                <c:pt idx="7">
                  <c:v>7. Light Truck </c:v>
                </c:pt>
                <c:pt idx="8">
                  <c:v>8. Medium Truck </c:v>
                </c:pt>
                <c:pt idx="9">
                  <c:v>9. Heavy truck </c:v>
                </c:pt>
                <c:pt idx="10">
                  <c:v>10. Truck Trailer </c:v>
                </c:pt>
                <c:pt idx="11">
                  <c:v>12. Tractors</c:v>
                </c:pt>
              </c:strCache>
            </c:strRef>
          </c:cat>
          <c:val>
            <c:numRef>
              <c:f>'[1]Avg Week Munyonyo-Kibuye-2Dir'!$C$107:$N$107</c:f>
              <c:numCache>
                <c:formatCode>General</c:formatCode>
                <c:ptCount val="12"/>
                <c:pt idx="0">
                  <c:v>0.12930183209716614</c:v>
                </c:pt>
                <c:pt idx="1">
                  <c:v>4.7988984766631639E-2</c:v>
                </c:pt>
                <c:pt idx="2">
                  <c:v>1.3401469889907276E-2</c:v>
                </c:pt>
                <c:pt idx="3">
                  <c:v>0.15237739492909838</c:v>
                </c:pt>
                <c:pt idx="4">
                  <c:v>1.6530797551375614E-3</c:v>
                </c:pt>
                <c:pt idx="5">
                  <c:v>3.3379495055662294E-4</c:v>
                </c:pt>
                <c:pt idx="6">
                  <c:v>1.1366910191276423E-2</c:v>
                </c:pt>
                <c:pt idx="7">
                  <c:v>2.1160215615643068E-3</c:v>
                </c:pt>
                <c:pt idx="8">
                  <c:v>1.8398459774728146E-3</c:v>
                </c:pt>
                <c:pt idx="9">
                  <c:v>1.4106810410428709E-4</c:v>
                </c:pt>
                <c:pt idx="10">
                  <c:v>0.63936435904415434</c:v>
                </c:pt>
                <c:pt idx="11">
                  <c:v>1.1523873293026267E-4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458-40FA-AC31-D48FDE464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Excluding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5621349354452078E-2"/>
          <c:y val="0.20025731425750379"/>
          <c:w val="0.83261086583830202"/>
          <c:h val="0.76871916342946045"/>
        </c:manualLayout>
      </c:layout>
      <c:pie3DChart>
        <c:varyColors val="1"/>
        <c:ser>
          <c:idx val="0"/>
          <c:order val="0"/>
          <c:tx>
            <c:strRef>
              <c:f>'21-28-SENTEMA RBT-HOIMA RBT'!$D$19:$N$19</c:f>
              <c:strCache>
                <c:ptCount val="11"/>
                <c:pt idx="0">
                  <c:v>46%</c:v>
                </c:pt>
                <c:pt idx="1">
                  <c:v>7%</c:v>
                </c:pt>
                <c:pt idx="2">
                  <c:v>7%</c:v>
                </c:pt>
                <c:pt idx="3">
                  <c:v>19%</c:v>
                </c:pt>
                <c:pt idx="4">
                  <c:v>1%</c:v>
                </c:pt>
                <c:pt idx="5">
                  <c:v>0%</c:v>
                </c:pt>
                <c:pt idx="6">
                  <c:v>7%</c:v>
                </c:pt>
                <c:pt idx="7">
                  <c:v>6%</c:v>
                </c:pt>
                <c:pt idx="8">
                  <c:v>3%</c:v>
                </c:pt>
                <c:pt idx="9">
                  <c:v>3%</c:v>
                </c:pt>
                <c:pt idx="10">
                  <c:v>0%</c:v>
                </c:pt>
              </c:strCache>
            </c:strRef>
          </c:tx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5EE-4E36-A14A-A997E962A16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5EE-4E36-A14A-A997E962A16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5EE-4E36-A14A-A997E962A16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5EE-4E36-A14A-A997E962A16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5EE-4E36-A14A-A997E962A16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5EE-4E36-A14A-A997E962A16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5EE-4E36-A14A-A997E962A16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5EE-4E36-A14A-A997E962A16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5EE-4E36-A14A-A997E962A16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5EE-4E36-A14A-A997E962A16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5EE-4E36-A14A-A997E962A16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5EE-4E36-A14A-A997E962A16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5EE-4E36-A14A-A997E962A16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'21-28-SENTEMA RBT-HOIMA RBT'!$C$9:$N$9</c:f>
              <c:strCache>
                <c:ptCount val="12"/>
                <c:pt idx="0">
                  <c:v>1.Motorcycles</c:v>
                </c:pt>
                <c:pt idx="1">
                  <c:v>1. Car</c:v>
                </c:pt>
                <c:pt idx="2">
                  <c:v>2. Station Wagon</c:v>
                </c:pt>
                <c:pt idx="3">
                  <c:v>3. Pickups</c:v>
                </c:pt>
                <c:pt idx="4">
                  <c:v>4. Minibus, matatu</c:v>
                </c:pt>
                <c:pt idx="5">
                  <c:v>5. Medium bus </c:v>
                </c:pt>
                <c:pt idx="6">
                  <c:v>6. Large Bus</c:v>
                </c:pt>
                <c:pt idx="7">
                  <c:v>7. Light Truck </c:v>
                </c:pt>
                <c:pt idx="8">
                  <c:v>8. Medium Truck </c:v>
                </c:pt>
                <c:pt idx="9">
                  <c:v>9. Heavy truck </c:v>
                </c:pt>
                <c:pt idx="10">
                  <c:v>10. Truck Trailer </c:v>
                </c:pt>
                <c:pt idx="11">
                  <c:v>12. Tractors</c:v>
                </c:pt>
              </c:strCache>
            </c:strRef>
          </c:cat>
          <c:val>
            <c:numRef>
              <c:f>'[1]Avg Week Munyonyo-Kibuye-2Dir'!$C$108:$N$108</c:f>
              <c:numCache>
                <c:formatCode>General</c:formatCode>
                <c:ptCount val="12"/>
                <c:pt idx="0">
                  <c:v>0.35853869505093411</c:v>
                </c:pt>
                <c:pt idx="1">
                  <c:v>0.13306778176288778</c:v>
                </c:pt>
                <c:pt idx="2">
                  <c:v>3.7160691756331646E-2</c:v>
                </c:pt>
                <c:pt idx="3">
                  <c:v>0.42252450291721066</c:v>
                </c:pt>
                <c:pt idx="4">
                  <c:v>4.5837947429604037E-3</c:v>
                </c:pt>
                <c:pt idx="5">
                  <c:v>9.2557393848238909E-4</c:v>
                </c:pt>
                <c:pt idx="6">
                  <c:v>3.1519098226534203E-2</c:v>
                </c:pt>
                <c:pt idx="7">
                  <c:v>5.8674776457365756E-3</c:v>
                </c:pt>
                <c:pt idx="8">
                  <c:v>5.1016753990160259E-3</c:v>
                </c:pt>
                <c:pt idx="9">
                  <c:v>3.9116517638243829E-4</c:v>
                </c:pt>
                <c:pt idx="10">
                  <c:v>3.9116502739489079E-4</c:v>
                </c:pt>
                <c:pt idx="11">
                  <c:v>3.1954338352368198E-4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5EE-4E36-A14A-A997E962A1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Weekly Traffic Variation </a:t>
            </a:r>
          </a:p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530571164873657"/>
          <c:y val="0.14189235127478753"/>
          <c:w val="0.74266939327419168"/>
          <c:h val="0.68825054092034532"/>
        </c:manualLayout>
      </c:layout>
      <c:lineChart>
        <c:grouping val="standard"/>
        <c:varyColors val="0"/>
        <c:ser>
          <c:idx val="0"/>
          <c:order val="0"/>
          <c:tx>
            <c:strRef>
              <c:f>'21-28-HOIMA RBT-SENTEMA RBT'!$O$9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'21-28-HOIMA RBT-SENTEMA RBT'!$B$10:$B$16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'21-28-HOIMA RBT-SENTEMA RBT'!$O$10:$O$16</c:f>
              <c:numCache>
                <c:formatCode>0</c:formatCode>
                <c:ptCount val="7"/>
                <c:pt idx="0">
                  <c:v>15581</c:v>
                </c:pt>
                <c:pt idx="1">
                  <c:v>17387.599999999999</c:v>
                </c:pt>
                <c:pt idx="2">
                  <c:v>17290</c:v>
                </c:pt>
                <c:pt idx="3">
                  <c:v>17568</c:v>
                </c:pt>
                <c:pt idx="4">
                  <c:v>18137</c:v>
                </c:pt>
                <c:pt idx="5">
                  <c:v>17475</c:v>
                </c:pt>
                <c:pt idx="6">
                  <c:v>18177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7A-47D0-B109-A9114B7F6EA2}"/>
            </c:ext>
          </c:extLst>
        </c:ser>
        <c:ser>
          <c:idx val="1"/>
          <c:order val="1"/>
          <c:tx>
            <c:strRef>
              <c:f>'21-28-HOIMA RBT-SENTEMA RBT'!$P$9</c:f>
              <c:strCache>
                <c:ptCount val="1"/>
                <c:pt idx="0">
                  <c:v> 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'21-28-HOIMA RBT-SENTEMA RBT'!$B$10:$B$16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'21-28-HOIMA RBT-SENTEMA RBT'!$P$10:$P$16</c:f>
              <c:numCache>
                <c:formatCode>0</c:formatCode>
                <c:ptCount val="7"/>
                <c:pt idx="0">
                  <c:v>24798.999999999996</c:v>
                </c:pt>
                <c:pt idx="1">
                  <c:v>26712.799999999996</c:v>
                </c:pt>
                <c:pt idx="2">
                  <c:v>26612.999999999996</c:v>
                </c:pt>
                <c:pt idx="3">
                  <c:v>26241</c:v>
                </c:pt>
                <c:pt idx="4">
                  <c:v>27195.999999999993</c:v>
                </c:pt>
                <c:pt idx="5">
                  <c:v>27442.999999999993</c:v>
                </c:pt>
                <c:pt idx="6">
                  <c:v>27884.999999999993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47A-47D0-B109-A9114B7F6E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2091792"/>
        <c:axId val="802094512"/>
      </c:lineChart>
      <c:catAx>
        <c:axId val="802091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2094512"/>
        <c:crosses val="autoZero"/>
        <c:auto val="1"/>
        <c:lblAlgn val="ctr"/>
        <c:lblOffset val="100"/>
        <c:noMultiLvlLbl val="0"/>
      </c:catAx>
      <c:valAx>
        <c:axId val="802094512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209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Including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66"/>
      <c:depthPercent val="100"/>
      <c:rAngAx val="0"/>
      <c:perspective val="1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7577465720024135E-2"/>
          <c:y val="8.013560502587487E-2"/>
          <c:w val="0.87655985254857882"/>
          <c:h val="0.80325343229815682"/>
        </c:manualLayout>
      </c:layout>
      <c:pie3DChart>
        <c:varyColors val="1"/>
        <c:ser>
          <c:idx val="0"/>
          <c:order val="0"/>
          <c:tx>
            <c:strRef>
              <c:f>'21-28-HOIMA RBT-SENTEMA RBT'!$C$18:$N$18</c:f>
              <c:strCache>
                <c:ptCount val="12"/>
                <c:pt idx="0">
                  <c:v>35%</c:v>
                </c:pt>
                <c:pt idx="1">
                  <c:v>30%</c:v>
                </c:pt>
                <c:pt idx="2">
                  <c:v>5%</c:v>
                </c:pt>
                <c:pt idx="3">
                  <c:v>4%</c:v>
                </c:pt>
                <c:pt idx="4">
                  <c:v>12%</c:v>
                </c:pt>
                <c:pt idx="5">
                  <c:v>1%</c:v>
                </c:pt>
                <c:pt idx="6">
                  <c:v>0%</c:v>
                </c:pt>
                <c:pt idx="7">
                  <c:v>5%</c:v>
                </c:pt>
                <c:pt idx="8">
                  <c:v>4%</c:v>
                </c:pt>
                <c:pt idx="9">
                  <c:v>2%</c:v>
                </c:pt>
                <c:pt idx="10">
                  <c:v>2%</c:v>
                </c:pt>
                <c:pt idx="11">
                  <c:v>0%</c:v>
                </c:pt>
              </c:strCache>
            </c:strRef>
          </c:tx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1C0-43BE-ADDE-6EEEF26FE9B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1C0-43BE-ADDE-6EEEF26FE9B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1C0-43BE-ADDE-6EEEF26FE9B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1C0-43BE-ADDE-6EEEF26FE9B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1C0-43BE-ADDE-6EEEF26FE9B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1C0-43BE-ADDE-6EEEF26FE9B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1C0-43BE-ADDE-6EEEF26FE9B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1C0-43BE-ADDE-6EEEF26FE9B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1C0-43BE-ADDE-6EEEF26FE9B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1C0-43BE-ADDE-6EEEF26FE9B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1C0-43BE-ADDE-6EEEF26FE9B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1C0-43BE-ADDE-6EEEF26FE9B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1C0-43BE-ADDE-6EEEF26FE9B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'21-28-HOIMA RBT-SENTEMA RBT'!$C$9:$N$9</c:f>
              <c:strCache>
                <c:ptCount val="12"/>
                <c:pt idx="0">
                  <c:v>1.Motorcycles</c:v>
                </c:pt>
                <c:pt idx="1">
                  <c:v>1. Car</c:v>
                </c:pt>
                <c:pt idx="2">
                  <c:v>2. Station Wagon</c:v>
                </c:pt>
                <c:pt idx="3">
                  <c:v>3. Pickups</c:v>
                </c:pt>
                <c:pt idx="4">
                  <c:v>4. Minibus, matatu</c:v>
                </c:pt>
                <c:pt idx="5">
                  <c:v>5. Medium bus </c:v>
                </c:pt>
                <c:pt idx="6">
                  <c:v>6. Large Bus</c:v>
                </c:pt>
                <c:pt idx="7">
                  <c:v>7. Light Truck </c:v>
                </c:pt>
                <c:pt idx="8">
                  <c:v>8. Medium Truck </c:v>
                </c:pt>
                <c:pt idx="9">
                  <c:v>9. Heavy truck </c:v>
                </c:pt>
                <c:pt idx="10">
                  <c:v>10. Truck Trailer </c:v>
                </c:pt>
                <c:pt idx="11">
                  <c:v>12. Tractors</c:v>
                </c:pt>
              </c:strCache>
            </c:strRef>
          </c:cat>
          <c:val>
            <c:numRef>
              <c:f>'[1]Avg Week Munyonyo-Kibuye-2Dir'!$C$107:$N$107</c:f>
              <c:numCache>
                <c:formatCode>General</c:formatCode>
                <c:ptCount val="12"/>
                <c:pt idx="0">
                  <c:v>0.12930183209716614</c:v>
                </c:pt>
                <c:pt idx="1">
                  <c:v>4.7988984766631639E-2</c:v>
                </c:pt>
                <c:pt idx="2">
                  <c:v>1.3401469889907276E-2</c:v>
                </c:pt>
                <c:pt idx="3">
                  <c:v>0.15237739492909838</c:v>
                </c:pt>
                <c:pt idx="4">
                  <c:v>1.6530797551375614E-3</c:v>
                </c:pt>
                <c:pt idx="5">
                  <c:v>3.3379495055662294E-4</c:v>
                </c:pt>
                <c:pt idx="6">
                  <c:v>1.1366910191276423E-2</c:v>
                </c:pt>
                <c:pt idx="7">
                  <c:v>2.1160215615643068E-3</c:v>
                </c:pt>
                <c:pt idx="8">
                  <c:v>1.8398459774728146E-3</c:v>
                </c:pt>
                <c:pt idx="9">
                  <c:v>1.4106810410428709E-4</c:v>
                </c:pt>
                <c:pt idx="10">
                  <c:v>0.63936435904415434</c:v>
                </c:pt>
                <c:pt idx="11">
                  <c:v>1.1523873293026267E-4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1C0-43BE-ADDE-6EEEF26FE9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Excluding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7.9947581020457556E-2"/>
          <c:y val="0.20249188404522064"/>
          <c:w val="0.83261086583830202"/>
          <c:h val="0.76871916342946045"/>
        </c:manualLayout>
      </c:layout>
      <c:pie3DChart>
        <c:varyColors val="1"/>
        <c:ser>
          <c:idx val="0"/>
          <c:order val="0"/>
          <c:tx>
            <c:strRef>
              <c:f>'21-28-HOIMA RBT-SENTEMA RBT'!$D$19:$N$19</c:f>
              <c:strCache>
                <c:ptCount val="11"/>
                <c:pt idx="0">
                  <c:v>46%</c:v>
                </c:pt>
                <c:pt idx="1">
                  <c:v>7%</c:v>
                </c:pt>
                <c:pt idx="2">
                  <c:v>7%</c:v>
                </c:pt>
                <c:pt idx="3">
                  <c:v>19%</c:v>
                </c:pt>
                <c:pt idx="4">
                  <c:v>1%</c:v>
                </c:pt>
                <c:pt idx="5">
                  <c:v>0%</c:v>
                </c:pt>
                <c:pt idx="6">
                  <c:v>7%</c:v>
                </c:pt>
                <c:pt idx="7">
                  <c:v>6%</c:v>
                </c:pt>
                <c:pt idx="8">
                  <c:v>3%</c:v>
                </c:pt>
                <c:pt idx="9">
                  <c:v>3%</c:v>
                </c:pt>
                <c:pt idx="10">
                  <c:v>0%</c:v>
                </c:pt>
              </c:strCache>
            </c:strRef>
          </c:tx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1B6-44FA-B163-D2897382F42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1B6-44FA-B163-D2897382F42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1B6-44FA-B163-D2897382F42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1B6-44FA-B163-D2897382F42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1B6-44FA-B163-D2897382F42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1B6-44FA-B163-D2897382F42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1B6-44FA-B163-D2897382F42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1B6-44FA-B163-D2897382F42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1B6-44FA-B163-D2897382F42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1B6-44FA-B163-D2897382F42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1B6-44FA-B163-D2897382F42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1B6-44FA-B163-D2897382F42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1B6-44FA-B163-D2897382F42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'21-28-HOIMA RBT-SENTEMA RBT'!$C$9:$N$9</c:f>
              <c:strCache>
                <c:ptCount val="12"/>
                <c:pt idx="0">
                  <c:v>1.Motorcycles</c:v>
                </c:pt>
                <c:pt idx="1">
                  <c:v>1. Car</c:v>
                </c:pt>
                <c:pt idx="2">
                  <c:v>2. Station Wagon</c:v>
                </c:pt>
                <c:pt idx="3">
                  <c:v>3. Pickups</c:v>
                </c:pt>
                <c:pt idx="4">
                  <c:v>4. Minibus, matatu</c:v>
                </c:pt>
                <c:pt idx="5">
                  <c:v>5. Medium bus </c:v>
                </c:pt>
                <c:pt idx="6">
                  <c:v>6. Large Bus</c:v>
                </c:pt>
                <c:pt idx="7">
                  <c:v>7. Light Truck </c:v>
                </c:pt>
                <c:pt idx="8">
                  <c:v>8. Medium Truck </c:v>
                </c:pt>
                <c:pt idx="9">
                  <c:v>9. Heavy truck </c:v>
                </c:pt>
                <c:pt idx="10">
                  <c:v>10. Truck Trailer </c:v>
                </c:pt>
                <c:pt idx="11">
                  <c:v>12. Tractors</c:v>
                </c:pt>
              </c:strCache>
            </c:strRef>
          </c:cat>
          <c:val>
            <c:numRef>
              <c:f>'[1]Avg Week Munyonyo-Kibuye-2Dir'!$C$108:$N$108</c:f>
              <c:numCache>
                <c:formatCode>General</c:formatCode>
                <c:ptCount val="12"/>
                <c:pt idx="0">
                  <c:v>0.35853869505093411</c:v>
                </c:pt>
                <c:pt idx="1">
                  <c:v>0.13306778176288778</c:v>
                </c:pt>
                <c:pt idx="2">
                  <c:v>3.7160691756331646E-2</c:v>
                </c:pt>
                <c:pt idx="3">
                  <c:v>0.42252450291721066</c:v>
                </c:pt>
                <c:pt idx="4">
                  <c:v>4.5837947429604037E-3</c:v>
                </c:pt>
                <c:pt idx="5">
                  <c:v>9.2557393848238909E-4</c:v>
                </c:pt>
                <c:pt idx="6">
                  <c:v>3.1519098226534203E-2</c:v>
                </c:pt>
                <c:pt idx="7">
                  <c:v>5.8674776457365756E-3</c:v>
                </c:pt>
                <c:pt idx="8">
                  <c:v>5.1016753990160259E-3</c:v>
                </c:pt>
                <c:pt idx="9">
                  <c:v>3.9116517638243829E-4</c:v>
                </c:pt>
                <c:pt idx="10">
                  <c:v>3.9116502739489079E-4</c:v>
                </c:pt>
                <c:pt idx="11">
                  <c:v>3.1954338352368198E-4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1B6-44FA-B163-D2897382F4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600"/>
              <a:t>Average Weekly Traffic Variation - KNBP Sentema Rd to Hoima Rd </a:t>
            </a:r>
          </a:p>
        </c:rich>
      </c:tx>
      <c:layout>
        <c:manualLayout>
          <c:xMode val="edge"/>
          <c:yMode val="edge"/>
          <c:x val="0.1684137673147508"/>
          <c:y val="1.82368634879869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'SENTEMA RBT-HOIMA RBT - 2DIR'!$O$9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star"/>
            <c:size val="6"/>
            <c:spPr>
              <a:noFill/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delete val="1"/>
          </c:dLbls>
          <c:cat>
            <c:strRef>
              <c:f>'SENTEMA RBT-HOIMA RBT - 2DIR'!$B$10:$B$16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'SENTEMA RBT-HOIMA RBT - 2DIR'!$O$10:$O$16</c:f>
              <c:numCache>
                <c:formatCode>0</c:formatCode>
                <c:ptCount val="7"/>
                <c:pt idx="0">
                  <c:v>31349.999999999985</c:v>
                </c:pt>
                <c:pt idx="1">
                  <c:v>31547.599999999995</c:v>
                </c:pt>
                <c:pt idx="2">
                  <c:v>32189.999999999989</c:v>
                </c:pt>
                <c:pt idx="3">
                  <c:v>32441.999999999993</c:v>
                </c:pt>
                <c:pt idx="4">
                  <c:v>34487.999999999978</c:v>
                </c:pt>
                <c:pt idx="5">
                  <c:v>32680.999999999989</c:v>
                </c:pt>
                <c:pt idx="6">
                  <c:v>33218.999999999993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F63-47C9-B670-81E7339209D3}"/>
            </c:ext>
          </c:extLst>
        </c:ser>
        <c:ser>
          <c:idx val="1"/>
          <c:order val="1"/>
          <c:tx>
            <c:strRef>
              <c:f>'SENTEMA RBT-HOIMA RBT - 2DIR'!$P$9</c:f>
              <c:strCache>
                <c:ptCount val="1"/>
                <c:pt idx="0">
                  <c:v> Total All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squar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delete val="1"/>
          </c:dLbls>
          <c:cat>
            <c:strRef>
              <c:f>'SENTEMA RBT-HOIMA RBT - 2DIR'!$B$10:$B$16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'SENTEMA RBT-HOIMA RBT - 2DIR'!$P$10:$P$16</c:f>
              <c:numCache>
                <c:formatCode>0</c:formatCode>
                <c:ptCount val="7"/>
                <c:pt idx="0">
                  <c:v>50557.000000000007</c:v>
                </c:pt>
                <c:pt idx="1">
                  <c:v>49834.799999999981</c:v>
                </c:pt>
                <c:pt idx="2">
                  <c:v>50840.999999999985</c:v>
                </c:pt>
                <c:pt idx="3">
                  <c:v>50548.999999999993</c:v>
                </c:pt>
                <c:pt idx="4">
                  <c:v>53219.999999999985</c:v>
                </c:pt>
                <c:pt idx="5">
                  <c:v>52125.999999999993</c:v>
                </c:pt>
                <c:pt idx="6">
                  <c:v>52397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F63-47C9-B670-81E7339209D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02091792"/>
        <c:axId val="802094512"/>
      </c:lineChart>
      <c:catAx>
        <c:axId val="802091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802094512"/>
        <c:crosses val="autoZero"/>
        <c:auto val="1"/>
        <c:lblAlgn val="ctr"/>
        <c:lblOffset val="100"/>
        <c:noMultiLvlLbl val="0"/>
      </c:catAx>
      <c:valAx>
        <c:axId val="802094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/>
                  <a:t>Average Daily Traffic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80209179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Including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66"/>
      <c:depthPercent val="100"/>
      <c:rAngAx val="0"/>
      <c:perspective val="1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7577465720024135E-2"/>
          <c:y val="8.013560502587487E-2"/>
          <c:w val="0.87655985254857882"/>
          <c:h val="0.80325343229815682"/>
        </c:manualLayout>
      </c:layout>
      <c:pie3DChart>
        <c:varyColors val="1"/>
        <c:ser>
          <c:idx val="0"/>
          <c:order val="0"/>
          <c:tx>
            <c:strRef>
              <c:f>'SENTEMA RBT-HOIMA RBT - 2DIR'!$C$18:$N$18</c:f>
              <c:strCache>
                <c:ptCount val="12"/>
                <c:pt idx="0">
                  <c:v>37%</c:v>
                </c:pt>
                <c:pt idx="1">
                  <c:v>29%</c:v>
                </c:pt>
                <c:pt idx="2">
                  <c:v>5%</c:v>
                </c:pt>
                <c:pt idx="3">
                  <c:v>4%</c:v>
                </c:pt>
                <c:pt idx="4">
                  <c:v>12%</c:v>
                </c:pt>
                <c:pt idx="5">
                  <c:v>1%</c:v>
                </c:pt>
                <c:pt idx="6">
                  <c:v>0%</c:v>
                </c:pt>
                <c:pt idx="7">
                  <c:v>5%</c:v>
                </c:pt>
                <c:pt idx="8">
                  <c:v>4%</c:v>
                </c:pt>
                <c:pt idx="9">
                  <c:v>2%</c:v>
                </c:pt>
                <c:pt idx="10">
                  <c:v>2%</c:v>
                </c:pt>
                <c:pt idx="11">
                  <c:v>0%</c:v>
                </c:pt>
              </c:strCache>
            </c:strRef>
          </c:tx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6B5-4472-ACD5-2EACC2EDEAC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6B5-4472-ACD5-2EACC2EDEAC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6B5-4472-ACD5-2EACC2EDEAC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6B5-4472-ACD5-2EACC2EDEAC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6B5-4472-ACD5-2EACC2EDEAC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6B5-4472-ACD5-2EACC2EDEAC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6B5-4472-ACD5-2EACC2EDEAC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6B5-4472-ACD5-2EACC2EDEAC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6B5-4472-ACD5-2EACC2EDEAC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6B5-4472-ACD5-2EACC2EDEAC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6B5-4472-ACD5-2EACC2EDEAC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6B5-4472-ACD5-2EACC2EDEAC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6B5-4472-ACD5-2EACC2EDEAC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'SENTEMA RBT-HOIMA RBT - 2DIR'!$C$9:$N$9</c:f>
              <c:strCache>
                <c:ptCount val="12"/>
                <c:pt idx="0">
                  <c:v>1.Motorcycles</c:v>
                </c:pt>
                <c:pt idx="1">
                  <c:v>1. Car</c:v>
                </c:pt>
                <c:pt idx="2">
                  <c:v>2. Station Wagon</c:v>
                </c:pt>
                <c:pt idx="3">
                  <c:v>3. Pickups</c:v>
                </c:pt>
                <c:pt idx="4">
                  <c:v>4. Minibus matatu</c:v>
                </c:pt>
                <c:pt idx="5">
                  <c:v>5. Medium bus </c:v>
                </c:pt>
                <c:pt idx="6">
                  <c:v>6. Large Bus</c:v>
                </c:pt>
                <c:pt idx="7">
                  <c:v>7. Light Truck </c:v>
                </c:pt>
                <c:pt idx="8">
                  <c:v>8. Medium Truck </c:v>
                </c:pt>
                <c:pt idx="9">
                  <c:v>9. Heavy truck </c:v>
                </c:pt>
                <c:pt idx="10">
                  <c:v>10. Truck Trailer </c:v>
                </c:pt>
                <c:pt idx="11">
                  <c:v>12. Tractors</c:v>
                </c:pt>
              </c:strCache>
            </c:strRef>
          </c:cat>
          <c:val>
            <c:numRef>
              <c:f>'[1]Avg Week Munyonyo-Kibuye-2Dir'!$C$107:$N$107</c:f>
              <c:numCache>
                <c:formatCode>General</c:formatCode>
                <c:ptCount val="12"/>
                <c:pt idx="0">
                  <c:v>0.12930183209716614</c:v>
                </c:pt>
                <c:pt idx="1">
                  <c:v>4.7988984766631639E-2</c:v>
                </c:pt>
                <c:pt idx="2">
                  <c:v>1.3401469889907276E-2</c:v>
                </c:pt>
                <c:pt idx="3">
                  <c:v>0.15237739492909838</c:v>
                </c:pt>
                <c:pt idx="4">
                  <c:v>1.6530797551375614E-3</c:v>
                </c:pt>
                <c:pt idx="5">
                  <c:v>3.3379495055662294E-4</c:v>
                </c:pt>
                <c:pt idx="6">
                  <c:v>1.1366910191276423E-2</c:v>
                </c:pt>
                <c:pt idx="7">
                  <c:v>2.1160215615643068E-3</c:v>
                </c:pt>
                <c:pt idx="8">
                  <c:v>1.8398459774728146E-3</c:v>
                </c:pt>
                <c:pt idx="9">
                  <c:v>1.4106810410428709E-4</c:v>
                </c:pt>
                <c:pt idx="10">
                  <c:v>0.63936435904415434</c:v>
                </c:pt>
                <c:pt idx="11">
                  <c:v>1.1523873293026267E-4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6B5-4472-ACD5-2EACC2EDEA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Excluding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5621349354452078E-2"/>
          <c:y val="0.20025731425750379"/>
          <c:w val="0.83261086583830202"/>
          <c:h val="0.76871916342946045"/>
        </c:manualLayout>
      </c:layout>
      <c:pie3DChart>
        <c:varyColors val="1"/>
        <c:ser>
          <c:idx val="0"/>
          <c:order val="0"/>
          <c:tx>
            <c:strRef>
              <c:f>'SENTEMA RBT-HOIMA RBT - 2DIR'!$D$19:$N$19</c:f>
              <c:strCache>
                <c:ptCount val="11"/>
                <c:pt idx="0">
                  <c:v>46%</c:v>
                </c:pt>
                <c:pt idx="1">
                  <c:v>7%</c:v>
                </c:pt>
                <c:pt idx="2">
                  <c:v>7%</c:v>
                </c:pt>
                <c:pt idx="3">
                  <c:v>19%</c:v>
                </c:pt>
                <c:pt idx="4">
                  <c:v>1%</c:v>
                </c:pt>
                <c:pt idx="5">
                  <c:v>0%</c:v>
                </c:pt>
                <c:pt idx="6">
                  <c:v>7%</c:v>
                </c:pt>
                <c:pt idx="7">
                  <c:v>6%</c:v>
                </c:pt>
                <c:pt idx="8">
                  <c:v>3%</c:v>
                </c:pt>
                <c:pt idx="9">
                  <c:v>3%</c:v>
                </c:pt>
                <c:pt idx="10">
                  <c:v>0%</c:v>
                </c:pt>
              </c:strCache>
            </c:strRef>
          </c:tx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7E-41DA-9F78-344E61F5C02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7E-41DA-9F78-344E61F5C02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7E-41DA-9F78-344E61F5C02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7E-41DA-9F78-344E61F5C02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7E-41DA-9F78-344E61F5C02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7E-41DA-9F78-344E61F5C02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7E-41DA-9F78-344E61F5C02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7E-41DA-9F78-344E61F5C02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7E-41DA-9F78-344E61F5C02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7E-41DA-9F78-344E61F5C02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7E-41DA-9F78-344E61F5C02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7E-41DA-9F78-344E61F5C02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7E-41DA-9F78-344E61F5C02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'SENTEMA RBT-HOIMA RBT - 2DIR'!$C$9:$N$9</c:f>
              <c:strCache>
                <c:ptCount val="12"/>
                <c:pt idx="0">
                  <c:v>1.Motorcycles</c:v>
                </c:pt>
                <c:pt idx="1">
                  <c:v>1. Car</c:v>
                </c:pt>
                <c:pt idx="2">
                  <c:v>2. Station Wagon</c:v>
                </c:pt>
                <c:pt idx="3">
                  <c:v>3. Pickups</c:v>
                </c:pt>
                <c:pt idx="4">
                  <c:v>4. Minibus matatu</c:v>
                </c:pt>
                <c:pt idx="5">
                  <c:v>5. Medium bus </c:v>
                </c:pt>
                <c:pt idx="6">
                  <c:v>6. Large Bus</c:v>
                </c:pt>
                <c:pt idx="7">
                  <c:v>7. Light Truck </c:v>
                </c:pt>
                <c:pt idx="8">
                  <c:v>8. Medium Truck </c:v>
                </c:pt>
                <c:pt idx="9">
                  <c:v>9. Heavy truck </c:v>
                </c:pt>
                <c:pt idx="10">
                  <c:v>10. Truck Trailer </c:v>
                </c:pt>
                <c:pt idx="11">
                  <c:v>12. Tractors</c:v>
                </c:pt>
              </c:strCache>
            </c:strRef>
          </c:cat>
          <c:val>
            <c:numRef>
              <c:f>'[1]Avg Week Munyonyo-Kibuye-2Dir'!$C$108:$N$108</c:f>
              <c:numCache>
                <c:formatCode>General</c:formatCode>
                <c:ptCount val="12"/>
                <c:pt idx="0">
                  <c:v>0.35853869505093411</c:v>
                </c:pt>
                <c:pt idx="1">
                  <c:v>0.13306778176288778</c:v>
                </c:pt>
                <c:pt idx="2">
                  <c:v>3.7160691756331646E-2</c:v>
                </c:pt>
                <c:pt idx="3">
                  <c:v>0.42252450291721066</c:v>
                </c:pt>
                <c:pt idx="4">
                  <c:v>4.5837947429604037E-3</c:v>
                </c:pt>
                <c:pt idx="5">
                  <c:v>9.2557393848238909E-4</c:v>
                </c:pt>
                <c:pt idx="6">
                  <c:v>3.1519098226534203E-2</c:v>
                </c:pt>
                <c:pt idx="7">
                  <c:v>5.8674776457365756E-3</c:v>
                </c:pt>
                <c:pt idx="8">
                  <c:v>5.1016753990160259E-3</c:v>
                </c:pt>
                <c:pt idx="9">
                  <c:v>3.9116517638243829E-4</c:v>
                </c:pt>
                <c:pt idx="10">
                  <c:v>3.9116502739489079E-4</c:v>
                </c:pt>
                <c:pt idx="11">
                  <c:v>3.1954338352368198E-4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7E-41DA-9F78-344E61F5C0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317499</xdr:colOff>
      <xdr:row>20</xdr:row>
      <xdr:rowOff>31750</xdr:rowOff>
    </xdr:from>
    <xdr:to>
      <xdr:col>9</xdr:col>
      <xdr:colOff>0</xdr:colOff>
      <xdr:row>35</xdr:row>
      <xdr:rowOff>79375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2818E5-4E21-4CEF-A4BB-C037C38922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971549</xdr:colOff>
      <xdr:row>19</xdr:row>
      <xdr:rowOff>253999</xdr:rowOff>
    </xdr:from>
    <xdr:to>
      <xdr:col>22</xdr:col>
      <xdr:colOff>396875</xdr:colOff>
      <xdr:row>39</xdr:row>
      <xdr:rowOff>269875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2311CCAF-8384-4088-A70E-B61D4F5EB3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20</xdr:row>
      <xdr:rowOff>15875</xdr:rowOff>
    </xdr:from>
    <xdr:to>
      <xdr:col>14</xdr:col>
      <xdr:colOff>793750</xdr:colOff>
      <xdr:row>39</xdr:row>
      <xdr:rowOff>269875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0655CF1-2E30-4A72-B30B-AFA81BBB80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317499</xdr:colOff>
      <xdr:row>20</xdr:row>
      <xdr:rowOff>31750</xdr:rowOff>
    </xdr:from>
    <xdr:to>
      <xdr:col>9</xdr:col>
      <xdr:colOff>0</xdr:colOff>
      <xdr:row>39</xdr:row>
      <xdr:rowOff>206375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E3A243-D8F3-443A-AD80-EDFA97155C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971549</xdr:colOff>
      <xdr:row>19</xdr:row>
      <xdr:rowOff>253999</xdr:rowOff>
    </xdr:from>
    <xdr:to>
      <xdr:col>22</xdr:col>
      <xdr:colOff>396875</xdr:colOff>
      <xdr:row>39</xdr:row>
      <xdr:rowOff>269875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787967-7B2F-4EEA-9568-8FA2D9A918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20</xdr:row>
      <xdr:rowOff>15875</xdr:rowOff>
    </xdr:from>
    <xdr:to>
      <xdr:col>14</xdr:col>
      <xdr:colOff>793750</xdr:colOff>
      <xdr:row>39</xdr:row>
      <xdr:rowOff>269875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232DF4-8C20-47BE-89C6-F0CD1CEA2B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317499</xdr:colOff>
      <xdr:row>20</xdr:row>
      <xdr:rowOff>31749</xdr:rowOff>
    </xdr:from>
    <xdr:to>
      <xdr:col>9</xdr:col>
      <xdr:colOff>928272</xdr:colOff>
      <xdr:row>35</xdr:row>
      <xdr:rowOff>115613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85BB53-7333-4D7B-AAF1-0EAAB1E9DD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122959</xdr:colOff>
      <xdr:row>20</xdr:row>
      <xdr:rowOff>28863</xdr:rowOff>
    </xdr:from>
    <xdr:to>
      <xdr:col>22</xdr:col>
      <xdr:colOff>573095</xdr:colOff>
      <xdr:row>35</xdr:row>
      <xdr:rowOff>112727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287B974-69E6-4AE9-BFC9-6458A262CF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1001568</xdr:colOff>
      <xdr:row>20</xdr:row>
      <xdr:rowOff>30307</xdr:rowOff>
    </xdr:from>
    <xdr:to>
      <xdr:col>15</xdr:col>
      <xdr:colOff>14295</xdr:colOff>
      <xdr:row>35</xdr:row>
      <xdr:rowOff>114171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8B8A82F-11C4-416B-B55A-1447452C7D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R.O/Desktop/STN-C1-RD-1A-SALAMA%20ROAD/MCC%20DATA/MCC-C1-STN1A-%20SALAMA%20R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2.07 Kibuye-Munyonyo"/>
      <sheetName val="22.07 Munyonyo-Kibuye"/>
      <sheetName val="23.07 Kibuye-Munyonyo"/>
      <sheetName val="23.07 Munyonyo-Kibuye"/>
      <sheetName val="24.07 Kibuye-Munyonyo"/>
      <sheetName val="24.07 Munyonyo-Kibuye"/>
      <sheetName val="25.07 Kibuye-Munyonyo"/>
      <sheetName val="25.07 Munyonyo-Kibuye"/>
      <sheetName val="26.07 Kibuye-Munyonyo-24h"/>
      <sheetName val="26.07 Munyonyo-Kibuye-24h"/>
      <sheetName val="27.07 Kibuye-Munyonyo-24h"/>
      <sheetName val="27.07 Munyonyo-Kibuye-24h"/>
      <sheetName val="28.07 Kibuye-Munyonyo"/>
      <sheetName val="28.07 Munyonyo-Kibuye"/>
      <sheetName val="Avg Week Kibuye-Munyonyo"/>
      <sheetName val="Avg Week Munyonyo-Kibuye"/>
      <sheetName val="proportions"/>
      <sheetName val="Avg Week Munyonyo-Kibuye-2Di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07">
          <cell r="C107">
            <v>0.12930183209716614</v>
          </cell>
          <cell r="D107">
            <v>4.7988984766631639E-2</v>
          </cell>
          <cell r="E107">
            <v>1.3401469889907276E-2</v>
          </cell>
          <cell r="F107">
            <v>0.15237739492909838</v>
          </cell>
          <cell r="G107">
            <v>1.6530797551375614E-3</v>
          </cell>
          <cell r="H107">
            <v>3.3379495055662294E-4</v>
          </cell>
          <cell r="I107">
            <v>1.1366910191276423E-2</v>
          </cell>
          <cell r="J107">
            <v>2.1160215615643068E-3</v>
          </cell>
          <cell r="K107">
            <v>1.8398459774728146E-3</v>
          </cell>
          <cell r="L107">
            <v>1.4106810410428709E-4</v>
          </cell>
          <cell r="M107">
            <v>0.63936435904415434</v>
          </cell>
          <cell r="N107">
            <v>1.1523873293026267E-4</v>
          </cell>
        </row>
        <row r="108">
          <cell r="C108">
            <v>0.35853869505093411</v>
          </cell>
          <cell r="D108">
            <v>0.13306778176288778</v>
          </cell>
          <cell r="E108">
            <v>3.7160691756331646E-2</v>
          </cell>
          <cell r="F108">
            <v>0.42252450291721066</v>
          </cell>
          <cell r="G108">
            <v>4.5837947429604037E-3</v>
          </cell>
          <cell r="H108">
            <v>9.2557393848238909E-4</v>
          </cell>
          <cell r="I108">
            <v>3.1519098226534203E-2</v>
          </cell>
          <cell r="J108">
            <v>5.8674776457365756E-3</v>
          </cell>
          <cell r="K108">
            <v>5.1016753990160259E-3</v>
          </cell>
          <cell r="L108">
            <v>3.9116517638243829E-4</v>
          </cell>
          <cell r="M108">
            <v>3.9116502739489079E-4</v>
          </cell>
          <cell r="N108">
            <v>3.1954338352368198E-4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2" tint="-0.249977111117893"/>
  </sheetPr>
  <dimension ref="B1:AD151"/>
  <sheetViews>
    <sheetView view="pageBreakPreview" zoomScale="60" workbookViewId="0">
      <selection activeCell="G14" sqref="G14"/>
    </sheetView>
  </sheetViews>
  <sheetFormatPr defaultColWidth="15" defaultRowHeight="20.100000000000001" customHeight="1" x14ac:dyDescent="0.25"/>
  <cols>
    <col min="1" max="1" width="4.85546875" customWidth="1"/>
    <col min="2" max="2" width="19.570312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5.7109375" customWidth="1"/>
    <col min="10" max="10" width="18.42578125" customWidth="1"/>
    <col min="11" max="11" width="20.42578125" customWidth="1"/>
    <col min="12" max="12" width="19.28515625" customWidth="1"/>
    <col min="13" max="13" width="14.5703125" customWidth="1"/>
    <col min="14" max="14" width="16.28515625" customWidth="1"/>
    <col min="15" max="15" width="14.85546875" customWidth="1"/>
    <col min="16" max="16" width="14.28515625" customWidth="1"/>
    <col min="17" max="17" width="14.7109375" customWidth="1"/>
    <col min="18" max="19" width="10.7109375" style="2" customWidth="1"/>
    <col min="20" max="32" width="10.7109375" customWidth="1"/>
  </cols>
  <sheetData>
    <row r="1" spans="2:30" ht="23.25" customHeight="1" x14ac:dyDescent="0.3">
      <c r="B1" s="28" t="s">
        <v>0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</row>
    <row r="2" spans="2:30" ht="20.100000000000001" customHeight="1" x14ac:dyDescent="0.25">
      <c r="B2" s="29" t="s">
        <v>26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</row>
    <row r="3" spans="2:30" ht="20.100000000000001" customHeight="1" x14ac:dyDescent="0.25">
      <c r="B3" s="1" t="s">
        <v>1</v>
      </c>
      <c r="C3" s="32" t="s">
        <v>30</v>
      </c>
      <c r="D3" s="32"/>
      <c r="E3" s="32"/>
      <c r="F3" s="32"/>
      <c r="G3" s="15"/>
      <c r="H3" s="15"/>
      <c r="I3" s="15"/>
      <c r="J3" s="15"/>
      <c r="K3" s="1"/>
      <c r="L3" s="1"/>
      <c r="M3" s="1"/>
      <c r="N3" s="1"/>
      <c r="O3" s="1"/>
      <c r="P3" s="1"/>
    </row>
    <row r="4" spans="2:30" ht="20.10000000000000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2:30" ht="20.100000000000001" customHeight="1" x14ac:dyDescent="0.25">
      <c r="C5" s="3" t="s">
        <v>2</v>
      </c>
      <c r="D5" s="31" t="s">
        <v>31</v>
      </c>
      <c r="E5" s="31"/>
      <c r="F5" s="4" t="s">
        <v>3</v>
      </c>
      <c r="G5" s="33"/>
      <c r="H5" s="34"/>
      <c r="I5" s="5"/>
      <c r="J5" s="3" t="s">
        <v>4</v>
      </c>
      <c r="K5" s="33" t="s">
        <v>14</v>
      </c>
      <c r="L5" s="34"/>
      <c r="M5" s="2"/>
      <c r="N5" s="2"/>
    </row>
    <row r="6" spans="2:30" ht="23.25" customHeight="1" x14ac:dyDescent="0.25">
      <c r="C6" s="3" t="s">
        <v>5</v>
      </c>
      <c r="D6" s="35" t="s">
        <v>15</v>
      </c>
      <c r="E6" s="36"/>
      <c r="F6" s="3" t="s">
        <v>6</v>
      </c>
      <c r="G6" s="35" t="s">
        <v>29</v>
      </c>
      <c r="H6" s="36"/>
      <c r="J6" s="3" t="s">
        <v>7</v>
      </c>
      <c r="K6" s="35" t="s">
        <v>13</v>
      </c>
      <c r="L6" s="36"/>
      <c r="M6" s="2"/>
      <c r="N6" s="2"/>
    </row>
    <row r="7" spans="2:30" ht="20.100000000000001" customHeight="1" x14ac:dyDescent="0.25">
      <c r="D7" s="2"/>
      <c r="E7" s="2"/>
      <c r="R7"/>
      <c r="S7"/>
    </row>
    <row r="8" spans="2:30" ht="50.25" customHeight="1" x14ac:dyDescent="0.25">
      <c r="C8" s="30" t="s">
        <v>9</v>
      </c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R8"/>
      <c r="S8"/>
    </row>
    <row r="9" spans="2:30" ht="98.25" customHeight="1" x14ac:dyDescent="0.25">
      <c r="B9" s="14" t="s">
        <v>8</v>
      </c>
      <c r="C9" s="25" t="s">
        <v>16</v>
      </c>
      <c r="D9" s="25" t="s">
        <v>34</v>
      </c>
      <c r="E9" s="25" t="s">
        <v>35</v>
      </c>
      <c r="F9" s="25" t="s">
        <v>36</v>
      </c>
      <c r="G9" s="25" t="s">
        <v>37</v>
      </c>
      <c r="H9" s="25" t="s">
        <v>38</v>
      </c>
      <c r="I9" s="25" t="s">
        <v>39</v>
      </c>
      <c r="J9" s="25" t="s">
        <v>40</v>
      </c>
      <c r="K9" s="25" t="s">
        <v>41</v>
      </c>
      <c r="L9" s="25" t="s">
        <v>42</v>
      </c>
      <c r="M9" s="25" t="s">
        <v>43</v>
      </c>
      <c r="N9" s="25" t="s">
        <v>44</v>
      </c>
      <c r="O9" s="7" t="s">
        <v>10</v>
      </c>
      <c r="P9" s="7" t="s">
        <v>25</v>
      </c>
      <c r="R9"/>
      <c r="S9"/>
    </row>
    <row r="10" spans="2:30" ht="23.1" customHeight="1" x14ac:dyDescent="0.25">
      <c r="B10" s="6" t="s">
        <v>17</v>
      </c>
      <c r="C10" s="6">
        <v>9989</v>
      </c>
      <c r="D10" s="8">
        <f>$O10*D$20</f>
        <v>7312.7336712955021</v>
      </c>
      <c r="E10" s="8">
        <f t="shared" ref="E10:N16" si="0">$O10*E$20</f>
        <v>1131.6152393985101</v>
      </c>
      <c r="F10" s="8">
        <f t="shared" si="0"/>
        <v>1033.6275802012219</v>
      </c>
      <c r="G10" s="8">
        <f t="shared" si="0"/>
        <v>2989.4573343492925</v>
      </c>
      <c r="H10" s="8">
        <f t="shared" si="0"/>
        <v>191.1200740199356</v>
      </c>
      <c r="I10" s="8">
        <f t="shared" si="0"/>
        <v>63.85381995739187</v>
      </c>
      <c r="J10" s="8">
        <f t="shared" si="0"/>
        <v>1157.0194473385477</v>
      </c>
      <c r="K10" s="8">
        <f t="shared" si="0"/>
        <v>954.96281275755325</v>
      </c>
      <c r="L10" s="8">
        <f t="shared" si="0"/>
        <v>423.38711804313681</v>
      </c>
      <c r="M10" s="8">
        <f t="shared" si="0"/>
        <v>510.48725955183727</v>
      </c>
      <c r="N10" s="8">
        <f t="shared" si="0"/>
        <v>0.73564308706672665</v>
      </c>
      <c r="O10" s="9">
        <v>15769</v>
      </c>
      <c r="P10" s="9">
        <f>SUM(C10:N10)</f>
        <v>25757.999999999996</v>
      </c>
      <c r="R10"/>
      <c r="S10"/>
    </row>
    <row r="11" spans="2:30" s="10" customFormat="1" ht="23.1" customHeight="1" x14ac:dyDescent="0.25">
      <c r="B11" s="6" t="s">
        <v>21</v>
      </c>
      <c r="C11" s="6">
        <v>8962</v>
      </c>
      <c r="D11" s="8">
        <f t="shared" ref="D11:D16" si="1">$O11*D$20</f>
        <v>6566.5742143157022</v>
      </c>
      <c r="E11" s="8">
        <f t="shared" si="0"/>
        <v>1016.1501547265459</v>
      </c>
      <c r="F11" s="8">
        <f t="shared" si="0"/>
        <v>928.16072900306312</v>
      </c>
      <c r="G11" s="8">
        <f t="shared" si="0"/>
        <v>2684.4261433436477</v>
      </c>
      <c r="H11" s="8">
        <f t="shared" si="0"/>
        <v>171.6190150372432</v>
      </c>
      <c r="I11" s="8">
        <f t="shared" si="0"/>
        <v>57.338454600587795</v>
      </c>
      <c r="J11" s="8">
        <f t="shared" si="0"/>
        <v>1038.9622280622636</v>
      </c>
      <c r="K11" s="8">
        <f t="shared" si="0"/>
        <v>857.52257141524228</v>
      </c>
      <c r="L11" s="8">
        <f t="shared" si="0"/>
        <v>380.18654267809103</v>
      </c>
      <c r="M11" s="8">
        <f t="shared" si="0"/>
        <v>458.39936554340892</v>
      </c>
      <c r="N11" s="8">
        <f t="shared" si="0"/>
        <v>0.6605812742003202</v>
      </c>
      <c r="O11" s="9">
        <v>14160</v>
      </c>
      <c r="P11" s="9">
        <f t="shared" ref="P11:P16" si="2">SUM(C11:N11)</f>
        <v>23121.999999999996</v>
      </c>
    </row>
    <row r="12" spans="2:30" ht="23.1" customHeight="1" x14ac:dyDescent="0.25">
      <c r="B12" s="6" t="s">
        <v>22</v>
      </c>
      <c r="C12" s="6">
        <v>9328</v>
      </c>
      <c r="D12" s="8">
        <f t="shared" si="1"/>
        <v>6909.7426407700541</v>
      </c>
      <c r="E12" s="8">
        <f t="shared" si="0"/>
        <v>1069.2540469933285</v>
      </c>
      <c r="F12" s="8">
        <f t="shared" si="0"/>
        <v>976.66630382384471</v>
      </c>
      <c r="G12" s="8">
        <f t="shared" si="0"/>
        <v>2824.7139502697987</v>
      </c>
      <c r="H12" s="8">
        <f t="shared" si="0"/>
        <v>180.58780537111045</v>
      </c>
      <c r="I12" s="8">
        <f t="shared" si="0"/>
        <v>60.334955759093084</v>
      </c>
      <c r="J12" s="8">
        <f t="shared" si="0"/>
        <v>1093.2582767039355</v>
      </c>
      <c r="K12" s="8">
        <f t="shared" si="0"/>
        <v>902.33660410219693</v>
      </c>
      <c r="L12" s="8">
        <f t="shared" si="0"/>
        <v>400.05504843951667</v>
      </c>
      <c r="M12" s="8">
        <f t="shared" si="0"/>
        <v>482.35526459016899</v>
      </c>
      <c r="N12" s="8">
        <f t="shared" si="0"/>
        <v>0.69510317694807711</v>
      </c>
      <c r="O12" s="9">
        <v>14900</v>
      </c>
      <c r="P12" s="9">
        <f t="shared" si="2"/>
        <v>24227.999999999996</v>
      </c>
      <c r="R12"/>
      <c r="S12"/>
    </row>
    <row r="13" spans="2:30" ht="23.1" customHeight="1" x14ac:dyDescent="0.25">
      <c r="B13" s="6" t="s">
        <v>18</v>
      </c>
      <c r="C13" s="6">
        <v>9434</v>
      </c>
      <c r="D13" s="8">
        <f t="shared" si="1"/>
        <v>6897.6853717324684</v>
      </c>
      <c r="E13" s="8">
        <f t="shared" si="0"/>
        <v>1067.3882345623335</v>
      </c>
      <c r="F13" s="8">
        <f t="shared" si="0"/>
        <v>974.9620538977091</v>
      </c>
      <c r="G13" s="8">
        <f t="shared" si="0"/>
        <v>2819.7849192156368</v>
      </c>
      <c r="H13" s="8">
        <f t="shared" si="0"/>
        <v>180.27268571073131</v>
      </c>
      <c r="I13" s="8">
        <f t="shared" si="0"/>
        <v>60.229673285956416</v>
      </c>
      <c r="J13" s="8">
        <f t="shared" si="0"/>
        <v>1091.3505776976065</v>
      </c>
      <c r="K13" s="8">
        <f t="shared" si="0"/>
        <v>900.76205700779042</v>
      </c>
      <c r="L13" s="8">
        <f t="shared" si="0"/>
        <v>399.35696580465577</v>
      </c>
      <c r="M13" s="8">
        <f t="shared" si="0"/>
        <v>481.51357083987745</v>
      </c>
      <c r="N13" s="8">
        <f t="shared" si="0"/>
        <v>0.69389024522991261</v>
      </c>
      <c r="O13" s="9">
        <v>14874</v>
      </c>
      <c r="P13" s="9">
        <f t="shared" si="2"/>
        <v>24307.999999999993</v>
      </c>
      <c r="R13"/>
      <c r="S13"/>
    </row>
    <row r="14" spans="2:30" ht="23.1" customHeight="1" x14ac:dyDescent="0.25">
      <c r="B14" s="6" t="s">
        <v>19</v>
      </c>
      <c r="C14" s="6">
        <v>9673</v>
      </c>
      <c r="D14" s="8">
        <f t="shared" si="1"/>
        <v>7582.6310012906815</v>
      </c>
      <c r="E14" s="8">
        <f t="shared" si="0"/>
        <v>1173.3807330461689</v>
      </c>
      <c r="F14" s="8">
        <f t="shared" si="0"/>
        <v>1071.7765593170259</v>
      </c>
      <c r="G14" s="8">
        <f t="shared" si="0"/>
        <v>3099.7917987155356</v>
      </c>
      <c r="H14" s="8">
        <f t="shared" si="0"/>
        <v>198.1739064176528</v>
      </c>
      <c r="I14" s="8">
        <f t="shared" si="0"/>
        <v>66.210527625297388</v>
      </c>
      <c r="J14" s="8">
        <f t="shared" si="0"/>
        <v>1199.7225558648356</v>
      </c>
      <c r="K14" s="8">
        <f t="shared" si="0"/>
        <v>990.20844387080695</v>
      </c>
      <c r="L14" s="8">
        <f t="shared" si="0"/>
        <v>439.01342933117701</v>
      </c>
      <c r="M14" s="8">
        <f t="shared" si="0"/>
        <v>529.3282504237485</v>
      </c>
      <c r="N14" s="8">
        <f t="shared" si="0"/>
        <v>0.76279409706563817</v>
      </c>
      <c r="O14" s="9">
        <v>16351</v>
      </c>
      <c r="P14" s="9">
        <f t="shared" si="2"/>
        <v>26024</v>
      </c>
      <c r="R14"/>
      <c r="S14"/>
    </row>
    <row r="15" spans="2:30" ht="23.1" customHeight="1" x14ac:dyDescent="0.25">
      <c r="B15" s="6" t="s">
        <v>20</v>
      </c>
      <c r="C15" s="22">
        <v>9477</v>
      </c>
      <c r="D15" s="8">
        <f t="shared" si="1"/>
        <v>7051.6474225200964</v>
      </c>
      <c r="E15" s="8">
        <f t="shared" si="0"/>
        <v>1091.2132240658091</v>
      </c>
      <c r="F15" s="8">
        <f t="shared" si="0"/>
        <v>996.72401449297865</v>
      </c>
      <c r="G15" s="8">
        <f t="shared" si="0"/>
        <v>2882.7248542149368</v>
      </c>
      <c r="H15" s="8">
        <f t="shared" si="0"/>
        <v>184.29652137403392</v>
      </c>
      <c r="I15" s="8">
        <f t="shared" si="0"/>
        <v>61.574049481393928</v>
      </c>
      <c r="J15" s="8">
        <f t="shared" si="0"/>
        <v>1115.7104265476539</v>
      </c>
      <c r="K15" s="8">
        <f t="shared" si="0"/>
        <v>920.86781221328908</v>
      </c>
      <c r="L15" s="8">
        <f t="shared" si="0"/>
        <v>408.27094406518728</v>
      </c>
      <c r="M15" s="8">
        <f t="shared" si="0"/>
        <v>492.26135257436977</v>
      </c>
      <c r="N15" s="8">
        <f t="shared" si="0"/>
        <v>0.70937845024647384</v>
      </c>
      <c r="O15" s="9">
        <v>15206</v>
      </c>
      <c r="P15" s="9">
        <f t="shared" si="2"/>
        <v>24682.999999999996</v>
      </c>
      <c r="R15"/>
      <c r="S15"/>
    </row>
    <row r="16" spans="2:30" ht="23.1" customHeight="1" x14ac:dyDescent="0.25">
      <c r="B16" s="6" t="s">
        <v>23</v>
      </c>
      <c r="C16" s="8">
        <v>9470</v>
      </c>
      <c r="D16" s="8">
        <f t="shared" si="1"/>
        <v>6975.5938793599435</v>
      </c>
      <c r="E16" s="8">
        <f t="shared" si="0"/>
        <v>1079.4442533472247</v>
      </c>
      <c r="F16" s="8">
        <f t="shared" si="0"/>
        <v>985.97413034350814</v>
      </c>
      <c r="G16" s="8">
        <f t="shared" si="0"/>
        <v>2851.6340429502225</v>
      </c>
      <c r="H16" s="8">
        <f t="shared" si="0"/>
        <v>182.30884351625795</v>
      </c>
      <c r="I16" s="8">
        <f t="shared" si="0"/>
        <v>60.909960035454915</v>
      </c>
      <c r="J16" s="8">
        <f t="shared" si="0"/>
        <v>1103.6772482000401</v>
      </c>
      <c r="K16" s="8">
        <f t="shared" si="0"/>
        <v>910.9360536178018</v>
      </c>
      <c r="L16" s="8">
        <f t="shared" si="0"/>
        <v>403.86765359914159</v>
      </c>
      <c r="M16" s="8">
        <f t="shared" si="0"/>
        <v>486.95220738022294</v>
      </c>
      <c r="N16" s="8">
        <f t="shared" si="0"/>
        <v>0.70172765017805205</v>
      </c>
      <c r="O16" s="9">
        <v>15042</v>
      </c>
      <c r="P16" s="9">
        <f t="shared" si="2"/>
        <v>24511.999999999996</v>
      </c>
      <c r="R16"/>
      <c r="S16"/>
    </row>
    <row r="17" spans="2:19" ht="37.5" customHeight="1" x14ac:dyDescent="0.25">
      <c r="B17" s="16" t="s">
        <v>24</v>
      </c>
      <c r="C17" s="11">
        <f>AVERAGE(C10:C16)</f>
        <v>9476.1428571428569</v>
      </c>
      <c r="D17" s="11">
        <f t="shared" ref="D17:N17" si="3">AVERAGE(D10:D16)</f>
        <v>7042.372600183493</v>
      </c>
      <c r="E17" s="11">
        <f t="shared" si="3"/>
        <v>1089.7779837342744</v>
      </c>
      <c r="F17" s="11">
        <f t="shared" si="3"/>
        <v>995.41305301133593</v>
      </c>
      <c r="G17" s="11">
        <f t="shared" si="3"/>
        <v>2878.9332918655819</v>
      </c>
      <c r="H17" s="11">
        <f t="shared" si="3"/>
        <v>184.05412163528075</v>
      </c>
      <c r="I17" s="11">
        <f t="shared" si="3"/>
        <v>61.493062963596472</v>
      </c>
      <c r="J17" s="11">
        <f t="shared" si="3"/>
        <v>1114.2429657735545</v>
      </c>
      <c r="K17" s="11">
        <f t="shared" si="3"/>
        <v>919.65662214066856</v>
      </c>
      <c r="L17" s="11">
        <f t="shared" si="3"/>
        <v>407.73395742298669</v>
      </c>
      <c r="M17" s="11">
        <f t="shared" si="3"/>
        <v>491.61389584337627</v>
      </c>
      <c r="N17" s="11">
        <f t="shared" si="3"/>
        <v>0.70844542584788572</v>
      </c>
      <c r="O17" s="12">
        <f>AVERAGE(O10:O16)</f>
        <v>15186</v>
      </c>
      <c r="P17" s="12">
        <f>AVERAGE(P10:P16)</f>
        <v>24662.142857142851</v>
      </c>
      <c r="R17"/>
      <c r="S17"/>
    </row>
    <row r="18" spans="2:19" ht="23.1" customHeight="1" x14ac:dyDescent="0.25">
      <c r="B18" s="18" t="s">
        <v>11</v>
      </c>
      <c r="C18" s="17">
        <f>C$17/P$17</f>
        <v>0.38423842210444009</v>
      </c>
      <c r="D18" s="17">
        <f>D17/$P$17</f>
        <v>0.28555396183441634</v>
      </c>
      <c r="E18" s="17">
        <f>E17/$P$17</f>
        <v>4.4188292560256741E-2</v>
      </c>
      <c r="F18" s="17">
        <f t="shared" ref="F18:N18" si="4">F17/$P$17</f>
        <v>4.0361985524831889E-2</v>
      </c>
      <c r="G18" s="17">
        <f t="shared" si="4"/>
        <v>0.11673492074642498</v>
      </c>
      <c r="H18" s="17">
        <f t="shared" si="4"/>
        <v>7.4630222808061263E-3</v>
      </c>
      <c r="I18" s="17">
        <f t="shared" si="4"/>
        <v>2.4934192993609373E-3</v>
      </c>
      <c r="J18" s="17">
        <f t="shared" si="4"/>
        <v>4.5180298087959474E-2</v>
      </c>
      <c r="K18" s="17">
        <f t="shared" si="4"/>
        <v>3.7290215512408735E-2</v>
      </c>
      <c r="L18" s="17">
        <f t="shared" si="4"/>
        <v>1.6532787105516884E-2</v>
      </c>
      <c r="M18" s="17">
        <f t="shared" si="4"/>
        <v>1.9933948914783416E-2</v>
      </c>
      <c r="N18" s="17">
        <f t="shared" si="4"/>
        <v>2.8726028794480847E-5</v>
      </c>
      <c r="O18" s="12">
        <f>SUM(O10:O16)</f>
        <v>106302</v>
      </c>
      <c r="P18" s="12">
        <f>SUM(P10:P16)</f>
        <v>172634.99999999997</v>
      </c>
      <c r="R18"/>
      <c r="S18"/>
    </row>
    <row r="19" spans="2:19" ht="23.1" customHeight="1" x14ac:dyDescent="0.25">
      <c r="B19" s="19" t="s">
        <v>12</v>
      </c>
      <c r="C19" s="17"/>
      <c r="D19" s="17">
        <f t="shared" ref="D19:N19" si="5">D$17/$O$17</f>
        <v>0.46374111683020497</v>
      </c>
      <c r="E19" s="17">
        <f t="shared" si="5"/>
        <v>7.1762016576733464E-2</v>
      </c>
      <c r="F19" s="17">
        <f t="shared" si="5"/>
        <v>6.5548074082137225E-2</v>
      </c>
      <c r="G19" s="17">
        <f t="shared" si="5"/>
        <v>0.18957811746777176</v>
      </c>
      <c r="H19" s="17">
        <f t="shared" si="5"/>
        <v>1.2119986937658419E-2</v>
      </c>
      <c r="I19" s="17">
        <f t="shared" si="5"/>
        <v>4.0493258898720184E-3</v>
      </c>
      <c r="J19" s="17">
        <f t="shared" si="5"/>
        <v>7.3373038704962104E-2</v>
      </c>
      <c r="K19" s="17">
        <f t="shared" si="5"/>
        <v>6.0559503631019924E-2</v>
      </c>
      <c r="L19" s="17">
        <f t="shared" si="5"/>
        <v>2.6849332110034683E-2</v>
      </c>
      <c r="M19" s="17">
        <f t="shared" si="5"/>
        <v>3.2372836549675772E-2</v>
      </c>
      <c r="N19" s="17">
        <f t="shared" si="5"/>
        <v>4.6651219929401138E-5</v>
      </c>
      <c r="O19" s="12"/>
      <c r="P19" s="12"/>
      <c r="R19"/>
      <c r="S19"/>
    </row>
    <row r="20" spans="2:19" ht="23.1" customHeight="1" x14ac:dyDescent="0.25">
      <c r="D20" s="23">
        <v>0.46374111683020497</v>
      </c>
      <c r="E20" s="23">
        <v>7.1762016576733464E-2</v>
      </c>
      <c r="F20" s="24">
        <v>6.5548074082137225E-2</v>
      </c>
      <c r="G20" s="24">
        <v>0.18957811746777173</v>
      </c>
      <c r="H20" s="24">
        <v>1.2119986937658419E-2</v>
      </c>
      <c r="I20" s="24">
        <v>4.0493258898720193E-3</v>
      </c>
      <c r="J20" s="24">
        <v>7.3373038704962118E-2</v>
      </c>
      <c r="K20" s="24">
        <v>6.0559503631019931E-2</v>
      </c>
      <c r="L20" s="24">
        <v>2.6849332110034676E-2</v>
      </c>
      <c r="M20" s="24">
        <v>3.2372836549675772E-2</v>
      </c>
      <c r="N20" s="24">
        <v>4.6651219929401145E-5</v>
      </c>
      <c r="R20"/>
      <c r="S20"/>
    </row>
    <row r="21" spans="2:19" ht="23.1" customHeight="1" x14ac:dyDescent="0.25">
      <c r="D21" s="2"/>
      <c r="E21" s="2"/>
      <c r="R21"/>
      <c r="S21"/>
    </row>
    <row r="22" spans="2:19" ht="23.1" customHeight="1" x14ac:dyDescent="0.25">
      <c r="D22" s="2"/>
      <c r="E22" s="2"/>
      <c r="R22"/>
      <c r="S22"/>
    </row>
    <row r="23" spans="2:19" ht="23.1" customHeight="1" x14ac:dyDescent="0.25">
      <c r="C23" s="2"/>
      <c r="D23" s="2"/>
      <c r="R23"/>
      <c r="S23"/>
    </row>
    <row r="24" spans="2:19" ht="23.1" customHeight="1" x14ac:dyDescent="0.25">
      <c r="C24" s="2"/>
      <c r="D24" s="2"/>
      <c r="R24"/>
      <c r="S24"/>
    </row>
    <row r="25" spans="2:19" ht="23.1" customHeight="1" x14ac:dyDescent="0.25">
      <c r="C25" s="2"/>
      <c r="D25" s="2"/>
      <c r="R25"/>
      <c r="S25"/>
    </row>
    <row r="26" spans="2:19" ht="23.1" customHeight="1" x14ac:dyDescent="0.25">
      <c r="C26" s="2"/>
      <c r="D26" s="2"/>
      <c r="R26"/>
      <c r="S26"/>
    </row>
    <row r="27" spans="2:19" ht="23.1" customHeight="1" x14ac:dyDescent="0.25">
      <c r="C27" s="2"/>
      <c r="D27" s="2"/>
      <c r="R27"/>
      <c r="S27"/>
    </row>
    <row r="28" spans="2:19" ht="23.1" customHeight="1" x14ac:dyDescent="0.25">
      <c r="C28" s="2"/>
      <c r="D28" s="2"/>
      <c r="R28"/>
      <c r="S28"/>
    </row>
    <row r="29" spans="2:19" ht="23.1" customHeight="1" x14ac:dyDescent="0.25">
      <c r="C29" s="2"/>
      <c r="D29" s="2"/>
      <c r="R29"/>
      <c r="S29"/>
    </row>
    <row r="30" spans="2:19" ht="23.1" customHeight="1" x14ac:dyDescent="0.25">
      <c r="C30" s="2"/>
      <c r="D30" s="2"/>
      <c r="R30"/>
      <c r="S30"/>
    </row>
    <row r="31" spans="2:19" ht="23.1" customHeight="1" x14ac:dyDescent="0.25">
      <c r="C31" s="2"/>
      <c r="D31" s="2"/>
      <c r="R31"/>
      <c r="S31"/>
    </row>
    <row r="32" spans="2:19" ht="23.1" customHeight="1" x14ac:dyDescent="0.25">
      <c r="C32" s="2"/>
      <c r="D32" s="2"/>
      <c r="R32"/>
      <c r="S32"/>
    </row>
    <row r="33" spans="3:19" ht="23.1" customHeight="1" x14ac:dyDescent="0.25">
      <c r="C33" s="2"/>
      <c r="D33" s="2"/>
      <c r="R33"/>
      <c r="S33"/>
    </row>
    <row r="34" spans="3:19" ht="23.1" customHeight="1" x14ac:dyDescent="0.25">
      <c r="C34" s="2"/>
      <c r="D34" s="2"/>
      <c r="R34"/>
      <c r="S34"/>
    </row>
    <row r="35" spans="3:19" ht="23.1" customHeight="1" x14ac:dyDescent="0.25">
      <c r="C35" s="2"/>
      <c r="D35" s="2"/>
      <c r="R35"/>
      <c r="S35"/>
    </row>
    <row r="36" spans="3:19" ht="23.1" customHeight="1" x14ac:dyDescent="0.25">
      <c r="C36" s="2"/>
      <c r="D36" s="2"/>
      <c r="R36"/>
      <c r="S36"/>
    </row>
    <row r="37" spans="3:19" ht="23.1" customHeight="1" x14ac:dyDescent="0.25">
      <c r="C37" s="2"/>
      <c r="D37" s="2"/>
      <c r="R37"/>
      <c r="S37"/>
    </row>
    <row r="38" spans="3:19" ht="23.1" customHeight="1" x14ac:dyDescent="0.25">
      <c r="C38" s="2"/>
      <c r="D38" s="2"/>
      <c r="R38"/>
      <c r="S38"/>
    </row>
    <row r="39" spans="3:19" ht="23.1" customHeight="1" x14ac:dyDescent="0.25">
      <c r="C39" s="2"/>
      <c r="D39" s="2"/>
      <c r="R39"/>
      <c r="S39"/>
    </row>
    <row r="40" spans="3:19" ht="23.1" customHeight="1" x14ac:dyDescent="0.25">
      <c r="C40" s="2"/>
      <c r="D40" s="2"/>
      <c r="R40"/>
      <c r="S40"/>
    </row>
    <row r="41" spans="3:19" ht="23.1" customHeight="1" x14ac:dyDescent="0.25">
      <c r="C41" s="2"/>
      <c r="D41" s="2"/>
      <c r="R41"/>
      <c r="S41"/>
    </row>
    <row r="42" spans="3:19" ht="23.1" customHeight="1" x14ac:dyDescent="0.25">
      <c r="C42" s="2"/>
      <c r="D42" s="2"/>
      <c r="R42"/>
      <c r="S42"/>
    </row>
    <row r="43" spans="3:19" ht="23.1" customHeight="1" x14ac:dyDescent="0.25">
      <c r="C43" s="2"/>
      <c r="D43" s="2"/>
      <c r="R43"/>
      <c r="S43"/>
    </row>
    <row r="44" spans="3:19" ht="23.1" customHeight="1" x14ac:dyDescent="0.25">
      <c r="C44" s="2"/>
      <c r="D44" s="2"/>
      <c r="R44"/>
      <c r="S44"/>
    </row>
    <row r="45" spans="3:19" ht="23.1" customHeight="1" x14ac:dyDescent="0.25">
      <c r="C45" s="2"/>
      <c r="D45" s="2"/>
      <c r="R45"/>
      <c r="S45"/>
    </row>
    <row r="46" spans="3:19" ht="23.1" customHeight="1" x14ac:dyDescent="0.25">
      <c r="C46" s="2"/>
      <c r="D46" s="2"/>
      <c r="R46"/>
      <c r="S46"/>
    </row>
    <row r="47" spans="3:19" ht="23.1" customHeight="1" x14ac:dyDescent="0.25">
      <c r="C47" s="2"/>
      <c r="D47" s="2"/>
      <c r="R47"/>
      <c r="S47"/>
    </row>
    <row r="48" spans="3:19" ht="23.1" customHeight="1" x14ac:dyDescent="0.25">
      <c r="C48" s="2"/>
      <c r="D48" s="2"/>
      <c r="R48"/>
      <c r="S48"/>
    </row>
    <row r="49" spans="3:19" ht="23.1" customHeight="1" x14ac:dyDescent="0.25">
      <c r="C49" s="2"/>
      <c r="D49" s="2"/>
      <c r="R49"/>
      <c r="S49"/>
    </row>
    <row r="50" spans="3:19" ht="23.1" customHeight="1" x14ac:dyDescent="0.25">
      <c r="C50" s="2"/>
      <c r="D50" s="2"/>
      <c r="R50"/>
      <c r="S50"/>
    </row>
    <row r="51" spans="3:19" ht="23.1" customHeight="1" x14ac:dyDescent="0.25">
      <c r="C51" s="2"/>
      <c r="D51" s="2"/>
      <c r="R51"/>
      <c r="S51"/>
    </row>
    <row r="52" spans="3:19" ht="23.1" customHeight="1" x14ac:dyDescent="0.25">
      <c r="C52" s="2"/>
      <c r="D52" s="2"/>
      <c r="R52"/>
      <c r="S52"/>
    </row>
    <row r="53" spans="3:19" ht="23.1" customHeight="1" x14ac:dyDescent="0.25">
      <c r="C53" s="2"/>
      <c r="D53" s="2"/>
      <c r="R53"/>
      <c r="S53"/>
    </row>
    <row r="54" spans="3:19" ht="23.1" customHeight="1" x14ac:dyDescent="0.25">
      <c r="C54" s="2"/>
      <c r="D54" s="2"/>
      <c r="R54"/>
      <c r="S54"/>
    </row>
    <row r="55" spans="3:19" ht="23.1" customHeight="1" x14ac:dyDescent="0.25">
      <c r="C55" s="2"/>
      <c r="D55" s="2"/>
      <c r="R55"/>
      <c r="S55"/>
    </row>
    <row r="56" spans="3:19" ht="23.1" customHeight="1" x14ac:dyDescent="0.25">
      <c r="C56" s="2"/>
      <c r="D56" s="2"/>
      <c r="R56"/>
      <c r="S56"/>
    </row>
    <row r="57" spans="3:19" ht="23.1" customHeight="1" x14ac:dyDescent="0.25">
      <c r="C57" s="2"/>
      <c r="D57" s="2"/>
      <c r="R57"/>
      <c r="S57"/>
    </row>
    <row r="58" spans="3:19" ht="23.1" customHeight="1" x14ac:dyDescent="0.25">
      <c r="C58" s="2"/>
      <c r="D58" s="2"/>
      <c r="R58"/>
      <c r="S58"/>
    </row>
    <row r="59" spans="3:19" ht="23.1" customHeight="1" x14ac:dyDescent="0.25">
      <c r="C59" s="2"/>
      <c r="D59" s="2"/>
      <c r="R59"/>
      <c r="S59"/>
    </row>
    <row r="60" spans="3:19" ht="23.1" customHeight="1" x14ac:dyDescent="0.25">
      <c r="C60" s="2"/>
      <c r="D60" s="2"/>
      <c r="R60"/>
      <c r="S60"/>
    </row>
    <row r="61" spans="3:19" ht="23.1" customHeight="1" x14ac:dyDescent="0.25">
      <c r="C61" s="2"/>
      <c r="D61" s="2"/>
      <c r="R61"/>
      <c r="S61"/>
    </row>
    <row r="62" spans="3:19" ht="23.1" customHeight="1" x14ac:dyDescent="0.25">
      <c r="C62" s="2"/>
      <c r="D62" s="2"/>
      <c r="R62"/>
      <c r="S62"/>
    </row>
    <row r="63" spans="3:19" ht="23.1" customHeight="1" x14ac:dyDescent="0.25">
      <c r="C63" s="2"/>
      <c r="D63" s="2"/>
      <c r="R63"/>
      <c r="S63"/>
    </row>
    <row r="64" spans="3:19" ht="23.1" customHeight="1" x14ac:dyDescent="0.25">
      <c r="C64" s="2"/>
      <c r="D64" s="2"/>
      <c r="R64"/>
      <c r="S64"/>
    </row>
    <row r="65" spans="3:19" ht="23.1" customHeight="1" x14ac:dyDescent="0.25">
      <c r="C65" s="2"/>
      <c r="D65" s="2"/>
      <c r="R65"/>
      <c r="S65"/>
    </row>
    <row r="66" spans="3:19" ht="23.1" customHeight="1" x14ac:dyDescent="0.25">
      <c r="C66" s="2"/>
      <c r="D66" s="2"/>
      <c r="R66"/>
      <c r="S66"/>
    </row>
    <row r="67" spans="3:19" ht="23.1" customHeight="1" x14ac:dyDescent="0.25">
      <c r="C67" s="2"/>
      <c r="D67" s="2"/>
      <c r="R67"/>
      <c r="S67"/>
    </row>
    <row r="68" spans="3:19" ht="23.1" customHeight="1" x14ac:dyDescent="0.25">
      <c r="C68" s="2"/>
      <c r="D68" s="2"/>
      <c r="R68"/>
      <c r="S68"/>
    </row>
    <row r="69" spans="3:19" ht="23.1" customHeight="1" x14ac:dyDescent="0.25">
      <c r="C69" s="2"/>
      <c r="D69" s="2"/>
      <c r="R69"/>
      <c r="S69"/>
    </row>
    <row r="70" spans="3:19" ht="23.1" customHeight="1" x14ac:dyDescent="0.25">
      <c r="C70" s="2"/>
      <c r="D70" s="2"/>
      <c r="R70"/>
      <c r="S70"/>
    </row>
    <row r="71" spans="3:19" ht="23.1" customHeight="1" x14ac:dyDescent="0.25">
      <c r="C71" s="2"/>
      <c r="D71" s="2"/>
      <c r="R71"/>
      <c r="S71"/>
    </row>
    <row r="72" spans="3:19" ht="23.1" customHeight="1" x14ac:dyDescent="0.25">
      <c r="C72" s="2"/>
      <c r="D72" s="2"/>
      <c r="R72"/>
      <c r="S72"/>
    </row>
    <row r="73" spans="3:19" ht="23.1" customHeight="1" x14ac:dyDescent="0.25">
      <c r="C73" s="2"/>
      <c r="D73" s="2"/>
      <c r="R73"/>
      <c r="S73"/>
    </row>
    <row r="74" spans="3:19" ht="23.1" customHeight="1" x14ac:dyDescent="0.25">
      <c r="C74" s="2"/>
      <c r="D74" s="2"/>
      <c r="R74"/>
      <c r="S74"/>
    </row>
    <row r="75" spans="3:19" ht="23.1" customHeight="1" x14ac:dyDescent="0.25">
      <c r="C75" s="2"/>
      <c r="D75" s="2"/>
      <c r="R75"/>
      <c r="S75"/>
    </row>
    <row r="76" spans="3:19" ht="23.1" customHeight="1" x14ac:dyDescent="0.25">
      <c r="C76" s="2"/>
      <c r="D76" s="2"/>
      <c r="R76"/>
      <c r="S76"/>
    </row>
    <row r="77" spans="3:19" ht="23.1" customHeight="1" x14ac:dyDescent="0.25">
      <c r="C77" s="2"/>
      <c r="D77" s="2"/>
      <c r="R77"/>
      <c r="S77"/>
    </row>
    <row r="78" spans="3:19" ht="23.1" customHeight="1" x14ac:dyDescent="0.25">
      <c r="C78" s="2"/>
      <c r="D78" s="2"/>
      <c r="R78"/>
      <c r="S78"/>
    </row>
    <row r="79" spans="3:19" ht="23.1" customHeight="1" x14ac:dyDescent="0.25">
      <c r="C79" s="2"/>
      <c r="D79" s="2"/>
      <c r="R79"/>
      <c r="S79"/>
    </row>
    <row r="80" spans="3:19" ht="23.1" customHeight="1" x14ac:dyDescent="0.25">
      <c r="C80" s="2"/>
      <c r="D80" s="2"/>
      <c r="R80"/>
      <c r="S80"/>
    </row>
    <row r="81" spans="3:19" ht="23.1" customHeight="1" x14ac:dyDescent="0.25">
      <c r="C81" s="2"/>
      <c r="D81" s="2"/>
      <c r="R81"/>
      <c r="S81"/>
    </row>
    <row r="82" spans="3:19" ht="23.1" customHeight="1" x14ac:dyDescent="0.25">
      <c r="C82" s="2"/>
      <c r="D82" s="2"/>
      <c r="R82"/>
      <c r="S82"/>
    </row>
    <row r="83" spans="3:19" ht="23.1" customHeight="1" x14ac:dyDescent="0.25">
      <c r="C83" s="2"/>
      <c r="D83" s="2"/>
      <c r="R83"/>
      <c r="S83"/>
    </row>
    <row r="84" spans="3:19" ht="23.1" customHeight="1" x14ac:dyDescent="0.25">
      <c r="C84" s="2"/>
      <c r="D84" s="2"/>
      <c r="R84"/>
      <c r="S84"/>
    </row>
    <row r="85" spans="3:19" ht="23.1" customHeight="1" x14ac:dyDescent="0.25">
      <c r="C85" s="2"/>
      <c r="D85" s="2"/>
      <c r="R85"/>
      <c r="S85"/>
    </row>
    <row r="86" spans="3:19" ht="23.1" customHeight="1" x14ac:dyDescent="0.25">
      <c r="C86" s="13"/>
      <c r="Q86" s="2"/>
      <c r="S86"/>
    </row>
    <row r="87" spans="3:19" ht="23.1" customHeight="1" x14ac:dyDescent="0.25">
      <c r="C87" s="13"/>
      <c r="Q87" s="2"/>
      <c r="S87"/>
    </row>
    <row r="88" spans="3:19" ht="23.1" customHeight="1" x14ac:dyDescent="0.25">
      <c r="C88" s="13"/>
    </row>
    <row r="89" spans="3:19" ht="23.1" customHeight="1" x14ac:dyDescent="0.25">
      <c r="C89" s="13"/>
    </row>
    <row r="90" spans="3:19" ht="23.1" customHeight="1" x14ac:dyDescent="0.25"/>
    <row r="91" spans="3:19" ht="23.1" customHeight="1" x14ac:dyDescent="0.25"/>
    <row r="92" spans="3:19" ht="23.1" customHeight="1" x14ac:dyDescent="0.25"/>
    <row r="93" spans="3:19" ht="23.1" customHeight="1" x14ac:dyDescent="0.25"/>
    <row r="94" spans="3:19" ht="23.1" customHeight="1" x14ac:dyDescent="0.25"/>
    <row r="95" spans="3:19" ht="23.1" customHeight="1" x14ac:dyDescent="0.25"/>
    <row r="96" spans="3:19" ht="23.1" customHeight="1" x14ac:dyDescent="0.25"/>
    <row r="97" ht="23.1" customHeight="1" x14ac:dyDescent="0.25"/>
    <row r="98" ht="23.1" customHeight="1" x14ac:dyDescent="0.25"/>
    <row r="99" ht="23.1" customHeight="1" x14ac:dyDescent="0.25"/>
    <row r="100" ht="23.1" customHeight="1" x14ac:dyDescent="0.25"/>
    <row r="101" ht="23.1" customHeight="1" x14ac:dyDescent="0.25"/>
    <row r="102" ht="23.1" customHeight="1" x14ac:dyDescent="0.25"/>
    <row r="103" ht="23.1" customHeight="1" x14ac:dyDescent="0.25"/>
    <row r="104" ht="23.1" customHeight="1" x14ac:dyDescent="0.25"/>
    <row r="105" ht="23.1" customHeight="1" x14ac:dyDescent="0.25"/>
    <row r="106" ht="23.1" customHeight="1" x14ac:dyDescent="0.25"/>
    <row r="107" ht="23.1" customHeight="1" x14ac:dyDescent="0.25"/>
    <row r="108" ht="23.1" customHeight="1" x14ac:dyDescent="0.25"/>
    <row r="109" ht="23.1" customHeight="1" x14ac:dyDescent="0.25"/>
    <row r="110" ht="23.1" customHeight="1" x14ac:dyDescent="0.25"/>
    <row r="111" ht="23.1" customHeight="1" x14ac:dyDescent="0.25"/>
    <row r="112" ht="23.1" customHeight="1" x14ac:dyDescent="0.25"/>
    <row r="113" ht="23.1" customHeight="1" x14ac:dyDescent="0.25"/>
    <row r="114" ht="23.1" customHeight="1" x14ac:dyDescent="0.25"/>
    <row r="115" ht="23.1" customHeight="1" x14ac:dyDescent="0.25"/>
    <row r="116" ht="23.1" customHeight="1" x14ac:dyDescent="0.25"/>
    <row r="117" ht="23.1" customHeight="1" x14ac:dyDescent="0.25"/>
    <row r="118" ht="23.1" customHeight="1" x14ac:dyDescent="0.25"/>
    <row r="119" ht="23.1" customHeight="1" x14ac:dyDescent="0.25"/>
    <row r="120" ht="23.1" customHeight="1" x14ac:dyDescent="0.25"/>
    <row r="121" ht="23.1" customHeight="1" x14ac:dyDescent="0.25"/>
    <row r="122" ht="23.1" customHeight="1" x14ac:dyDescent="0.25"/>
    <row r="123" ht="23.1" customHeight="1" x14ac:dyDescent="0.25"/>
    <row r="124" ht="23.1" customHeight="1" x14ac:dyDescent="0.25"/>
    <row r="125" ht="23.1" customHeight="1" x14ac:dyDescent="0.25"/>
    <row r="126" ht="23.1" customHeight="1" x14ac:dyDescent="0.25"/>
    <row r="127" ht="23.1" customHeight="1" x14ac:dyDescent="0.25"/>
    <row r="128" ht="23.1" customHeight="1" x14ac:dyDescent="0.25"/>
    <row r="129" ht="23.1" customHeight="1" x14ac:dyDescent="0.25"/>
    <row r="130" ht="23.1" customHeight="1" x14ac:dyDescent="0.25"/>
    <row r="131" ht="23.1" customHeight="1" x14ac:dyDescent="0.25"/>
    <row r="132" ht="23.1" customHeight="1" x14ac:dyDescent="0.25"/>
    <row r="133" ht="23.1" customHeight="1" x14ac:dyDescent="0.25"/>
    <row r="134" ht="23.1" customHeight="1" x14ac:dyDescent="0.25"/>
    <row r="135" ht="23.1" customHeight="1" x14ac:dyDescent="0.25"/>
    <row r="136" ht="23.1" customHeight="1" x14ac:dyDescent="0.25"/>
    <row r="137" ht="23.1" customHeight="1" x14ac:dyDescent="0.25"/>
    <row r="138" ht="23.1" customHeight="1" x14ac:dyDescent="0.25"/>
    <row r="139" ht="23.1" customHeight="1" x14ac:dyDescent="0.25"/>
    <row r="140" ht="23.1" customHeight="1" x14ac:dyDescent="0.25"/>
    <row r="141" ht="23.1" customHeight="1" x14ac:dyDescent="0.25"/>
    <row r="142" ht="23.1" customHeight="1" x14ac:dyDescent="0.25"/>
    <row r="143" ht="23.1" customHeight="1" x14ac:dyDescent="0.25"/>
    <row r="144" ht="23.1" customHeight="1" x14ac:dyDescent="0.25"/>
    <row r="145" ht="23.1" customHeight="1" x14ac:dyDescent="0.25"/>
    <row r="146" ht="23.1" customHeight="1" x14ac:dyDescent="0.25"/>
    <row r="147" ht="23.1" customHeight="1" x14ac:dyDescent="0.25"/>
    <row r="148" ht="23.1" customHeight="1" x14ac:dyDescent="0.25"/>
    <row r="149" ht="23.1" customHeight="1" x14ac:dyDescent="0.25"/>
    <row r="150" ht="23.1" customHeight="1" x14ac:dyDescent="0.25"/>
    <row r="151" ht="23.1" customHeight="1" x14ac:dyDescent="0.25"/>
  </sheetData>
  <mergeCells count="10">
    <mergeCell ref="B1:P1"/>
    <mergeCell ref="B2:P2"/>
    <mergeCell ref="C8:P8"/>
    <mergeCell ref="D5:E5"/>
    <mergeCell ref="C3:F3"/>
    <mergeCell ref="G5:H5"/>
    <mergeCell ref="K5:L5"/>
    <mergeCell ref="D6:E6"/>
    <mergeCell ref="G6:H6"/>
    <mergeCell ref="K6:L6"/>
  </mergeCells>
  <phoneticPr fontId="12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2" tint="-0.249977111117893"/>
  </sheetPr>
  <dimension ref="B1:AD151"/>
  <sheetViews>
    <sheetView view="pageBreakPreview" topLeftCell="A4" zoomScale="70" zoomScaleSheetLayoutView="70" workbookViewId="0">
      <selection activeCell="D13" sqref="D13"/>
    </sheetView>
  </sheetViews>
  <sheetFormatPr defaultColWidth="15" defaultRowHeight="20.100000000000001" customHeight="1" x14ac:dyDescent="0.25"/>
  <cols>
    <col min="1" max="1" width="4.85546875" customWidth="1"/>
    <col min="2" max="2" width="19.570312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5.7109375" customWidth="1"/>
    <col min="10" max="10" width="18.42578125" customWidth="1"/>
    <col min="11" max="11" width="20.42578125" customWidth="1"/>
    <col min="12" max="12" width="19.28515625" customWidth="1"/>
    <col min="13" max="13" width="14.5703125" customWidth="1"/>
    <col min="14" max="14" width="16.28515625" customWidth="1"/>
    <col min="15" max="15" width="14.85546875" customWidth="1"/>
    <col min="16" max="16" width="14.28515625" customWidth="1"/>
    <col min="17" max="17" width="14.7109375" customWidth="1"/>
    <col min="18" max="19" width="10.7109375" style="2" customWidth="1"/>
    <col min="20" max="32" width="10.7109375" customWidth="1"/>
  </cols>
  <sheetData>
    <row r="1" spans="2:30" ht="23.25" customHeight="1" x14ac:dyDescent="0.3">
      <c r="B1" s="28" t="s">
        <v>0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</row>
    <row r="2" spans="2:30" ht="20.100000000000001" customHeight="1" x14ac:dyDescent="0.25">
      <c r="B2" s="29" t="s">
        <v>26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</row>
    <row r="3" spans="2:30" ht="20.100000000000001" customHeight="1" x14ac:dyDescent="0.25">
      <c r="B3" s="1" t="s">
        <v>1</v>
      </c>
      <c r="C3" s="32" t="s">
        <v>27</v>
      </c>
      <c r="D3" s="32"/>
      <c r="E3" s="32"/>
      <c r="F3" s="32"/>
      <c r="G3" s="15"/>
      <c r="H3" s="15"/>
      <c r="I3" s="15"/>
      <c r="J3" s="15"/>
      <c r="K3" s="1"/>
      <c r="L3" s="1"/>
      <c r="M3" s="1"/>
      <c r="N3" s="1"/>
      <c r="O3" s="1"/>
      <c r="P3" s="1"/>
    </row>
    <row r="4" spans="2:30" ht="20.10000000000000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2:30" ht="20.100000000000001" customHeight="1" x14ac:dyDescent="0.25">
      <c r="C5" s="3" t="s">
        <v>2</v>
      </c>
      <c r="D5" s="31" t="s">
        <v>31</v>
      </c>
      <c r="E5" s="31"/>
      <c r="F5" s="4" t="s">
        <v>3</v>
      </c>
      <c r="G5" s="33"/>
      <c r="H5" s="34"/>
      <c r="I5" s="5"/>
      <c r="J5" s="3" t="s">
        <v>4</v>
      </c>
      <c r="K5" s="33" t="s">
        <v>14</v>
      </c>
      <c r="L5" s="34"/>
      <c r="M5" s="2"/>
      <c r="N5" s="2"/>
    </row>
    <row r="6" spans="2:30" ht="23.25" customHeight="1" x14ac:dyDescent="0.25">
      <c r="C6" s="3" t="s">
        <v>5</v>
      </c>
      <c r="D6" s="35" t="s">
        <v>29</v>
      </c>
      <c r="E6" s="36"/>
      <c r="F6" s="3" t="s">
        <v>6</v>
      </c>
      <c r="G6" s="35" t="s">
        <v>15</v>
      </c>
      <c r="H6" s="36"/>
      <c r="J6" s="3" t="s">
        <v>7</v>
      </c>
      <c r="K6" s="35" t="s">
        <v>13</v>
      </c>
      <c r="L6" s="36"/>
      <c r="M6" s="2"/>
      <c r="N6" s="2"/>
    </row>
    <row r="7" spans="2:30" ht="20.100000000000001" customHeight="1" x14ac:dyDescent="0.25">
      <c r="D7" s="2"/>
      <c r="E7" s="2"/>
      <c r="R7"/>
      <c r="S7"/>
    </row>
    <row r="8" spans="2:30" ht="50.25" customHeight="1" x14ac:dyDescent="0.25">
      <c r="C8" s="30" t="s">
        <v>28</v>
      </c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R8"/>
      <c r="S8"/>
    </row>
    <row r="9" spans="2:30" ht="98.25" customHeight="1" x14ac:dyDescent="0.25">
      <c r="B9" s="14" t="s">
        <v>8</v>
      </c>
      <c r="C9" s="25" t="s">
        <v>16</v>
      </c>
      <c r="D9" s="25" t="s">
        <v>34</v>
      </c>
      <c r="E9" s="25" t="s">
        <v>35</v>
      </c>
      <c r="F9" s="25" t="s">
        <v>36</v>
      </c>
      <c r="G9" s="25" t="s">
        <v>37</v>
      </c>
      <c r="H9" s="25" t="s">
        <v>38</v>
      </c>
      <c r="I9" s="25" t="s">
        <v>39</v>
      </c>
      <c r="J9" s="25" t="s">
        <v>40</v>
      </c>
      <c r="K9" s="25" t="s">
        <v>41</v>
      </c>
      <c r="L9" s="25" t="s">
        <v>42</v>
      </c>
      <c r="M9" s="25" t="s">
        <v>43</v>
      </c>
      <c r="N9" s="25" t="s">
        <v>44</v>
      </c>
      <c r="O9" s="7" t="s">
        <v>10</v>
      </c>
      <c r="P9" s="7" t="s">
        <v>25</v>
      </c>
      <c r="R9"/>
      <c r="S9"/>
    </row>
    <row r="10" spans="2:30" ht="23.1" customHeight="1" x14ac:dyDescent="0.25">
      <c r="B10" s="6" t="s">
        <v>17</v>
      </c>
      <c r="C10" s="6">
        <v>9218</v>
      </c>
      <c r="D10" s="8">
        <f>$O10*D$20</f>
        <v>7225.5503413314236</v>
      </c>
      <c r="E10" s="8">
        <f t="shared" ref="E10:N16" si="0">$O10*E$20</f>
        <v>1118.1239802820842</v>
      </c>
      <c r="F10" s="8">
        <f t="shared" si="0"/>
        <v>1021.3045422737802</v>
      </c>
      <c r="G10" s="8">
        <f t="shared" si="0"/>
        <v>2953.8166482653514</v>
      </c>
      <c r="H10" s="8">
        <f t="shared" si="0"/>
        <v>188.84151647565582</v>
      </c>
      <c r="I10" s="8">
        <f t="shared" si="0"/>
        <v>63.092546690095929</v>
      </c>
      <c r="J10" s="8">
        <f t="shared" si="0"/>
        <v>1143.2253160620148</v>
      </c>
      <c r="K10" s="8">
        <f t="shared" si="0"/>
        <v>943.57762607492157</v>
      </c>
      <c r="L10" s="8">
        <f t="shared" si="0"/>
        <v>418.33944360645029</v>
      </c>
      <c r="M10" s="8">
        <f t="shared" si="0"/>
        <v>504.40116628049822</v>
      </c>
      <c r="N10" s="8">
        <f t="shared" si="0"/>
        <v>0.7268726577199992</v>
      </c>
      <c r="O10" s="9">
        <v>15581</v>
      </c>
      <c r="P10" s="9">
        <f>SUM(C10:N10)</f>
        <v>24798.999999999996</v>
      </c>
      <c r="R10"/>
      <c r="S10"/>
    </row>
    <row r="11" spans="2:30" s="10" customFormat="1" ht="23.1" customHeight="1" x14ac:dyDescent="0.25">
      <c r="B11" s="6" t="s">
        <v>21</v>
      </c>
      <c r="C11" s="22">
        <v>9325.2000000000007</v>
      </c>
      <c r="D11" s="8">
        <f t="shared" ref="D11:D16" si="1">$O11*D$20</f>
        <v>8063.3450429968716</v>
      </c>
      <c r="E11" s="8">
        <f t="shared" si="0"/>
        <v>1247.7692394296107</v>
      </c>
      <c r="F11" s="8">
        <f t="shared" si="0"/>
        <v>1139.7236929105691</v>
      </c>
      <c r="G11" s="8">
        <f t="shared" si="0"/>
        <v>3296.3084752826276</v>
      </c>
      <c r="H11" s="8">
        <f t="shared" si="0"/>
        <v>210.73748487722952</v>
      </c>
      <c r="I11" s="8">
        <f t="shared" si="0"/>
        <v>70.408058842738711</v>
      </c>
      <c r="J11" s="8">
        <f t="shared" si="0"/>
        <v>1275.7810477863993</v>
      </c>
      <c r="K11" s="8">
        <f t="shared" si="0"/>
        <v>1052.9844253347221</v>
      </c>
      <c r="L11" s="8">
        <f t="shared" si="0"/>
        <v>466.84544699643891</v>
      </c>
      <c r="M11" s="8">
        <f t="shared" si="0"/>
        <v>562.88593279114241</v>
      </c>
      <c r="N11" s="8">
        <f t="shared" si="0"/>
        <v>0.81115275164445533</v>
      </c>
      <c r="O11" s="9">
        <v>17387.599999999999</v>
      </c>
      <c r="P11" s="9">
        <f t="shared" ref="P11:P16" si="2">SUM(C11:N11)</f>
        <v>26712.799999999996</v>
      </c>
    </row>
    <row r="12" spans="2:30" ht="23.1" customHeight="1" x14ac:dyDescent="0.25">
      <c r="B12" s="6" t="s">
        <v>22</v>
      </c>
      <c r="C12" s="22">
        <v>9323</v>
      </c>
      <c r="D12" s="8">
        <f t="shared" si="1"/>
        <v>8018.0839099942441</v>
      </c>
      <c r="E12" s="8">
        <f t="shared" si="0"/>
        <v>1240.7652666117217</v>
      </c>
      <c r="F12" s="8">
        <f t="shared" si="0"/>
        <v>1133.3262008801526</v>
      </c>
      <c r="G12" s="8">
        <f t="shared" si="0"/>
        <v>3277.805651017773</v>
      </c>
      <c r="H12" s="8">
        <f t="shared" si="0"/>
        <v>209.55457415211407</v>
      </c>
      <c r="I12" s="8">
        <f t="shared" si="0"/>
        <v>70.01284463588722</v>
      </c>
      <c r="J12" s="8">
        <f t="shared" si="0"/>
        <v>1268.6198392087949</v>
      </c>
      <c r="K12" s="8">
        <f t="shared" si="0"/>
        <v>1047.0738177803346</v>
      </c>
      <c r="L12" s="8">
        <f t="shared" si="0"/>
        <v>464.22495218249952</v>
      </c>
      <c r="M12" s="8">
        <f t="shared" si="0"/>
        <v>559.72634394389411</v>
      </c>
      <c r="N12" s="8">
        <f t="shared" si="0"/>
        <v>0.80659959257934577</v>
      </c>
      <c r="O12" s="9">
        <v>17290</v>
      </c>
      <c r="P12" s="9">
        <f t="shared" si="2"/>
        <v>26612.999999999996</v>
      </c>
      <c r="R12"/>
      <c r="S12"/>
    </row>
    <row r="13" spans="2:30" ht="23.1" customHeight="1" x14ac:dyDescent="0.25">
      <c r="B13" s="6" t="s">
        <v>18</v>
      </c>
      <c r="C13" s="6">
        <v>8673</v>
      </c>
      <c r="D13" s="8">
        <f t="shared" si="1"/>
        <v>8147.0039404730405</v>
      </c>
      <c r="E13" s="8">
        <f t="shared" si="0"/>
        <v>1260.7151072200536</v>
      </c>
      <c r="F13" s="8">
        <f t="shared" si="0"/>
        <v>1151.5485654749868</v>
      </c>
      <c r="G13" s="8">
        <f t="shared" si="0"/>
        <v>3330.5083676738136</v>
      </c>
      <c r="H13" s="8">
        <f t="shared" si="0"/>
        <v>212.9239305207831</v>
      </c>
      <c r="I13" s="8">
        <f t="shared" si="0"/>
        <v>71.138557233271641</v>
      </c>
      <c r="J13" s="8">
        <f t="shared" si="0"/>
        <v>1289.0175439687746</v>
      </c>
      <c r="K13" s="8">
        <f t="shared" si="0"/>
        <v>1063.9093597897581</v>
      </c>
      <c r="L13" s="8">
        <f t="shared" si="0"/>
        <v>471.68906650908917</v>
      </c>
      <c r="M13" s="8">
        <f t="shared" si="0"/>
        <v>568.72599250470398</v>
      </c>
      <c r="N13" s="8">
        <f t="shared" si="0"/>
        <v>0.81956863171971928</v>
      </c>
      <c r="O13" s="9">
        <v>17568</v>
      </c>
      <c r="P13" s="9">
        <f t="shared" si="2"/>
        <v>26241</v>
      </c>
      <c r="R13"/>
      <c r="S13"/>
    </row>
    <row r="14" spans="2:30" ht="23.1" customHeight="1" x14ac:dyDescent="0.25">
      <c r="B14" s="6" t="s">
        <v>19</v>
      </c>
      <c r="C14" s="6">
        <v>9059</v>
      </c>
      <c r="D14" s="8">
        <f t="shared" si="1"/>
        <v>8410.8726359494267</v>
      </c>
      <c r="E14" s="8">
        <f t="shared" si="0"/>
        <v>1301.5476946522149</v>
      </c>
      <c r="F14" s="8">
        <f t="shared" si="0"/>
        <v>1188.8454196277228</v>
      </c>
      <c r="G14" s="8">
        <f t="shared" si="0"/>
        <v>3438.3783165129757</v>
      </c>
      <c r="H14" s="8">
        <f t="shared" si="0"/>
        <v>219.82020308831073</v>
      </c>
      <c r="I14" s="8">
        <f t="shared" si="0"/>
        <v>73.442623664608817</v>
      </c>
      <c r="J14" s="8">
        <f t="shared" si="0"/>
        <v>1330.766802991898</v>
      </c>
      <c r="K14" s="8">
        <f t="shared" si="0"/>
        <v>1098.3677173558085</v>
      </c>
      <c r="L14" s="8">
        <f t="shared" si="0"/>
        <v>486.9663364796989</v>
      </c>
      <c r="M14" s="8">
        <f t="shared" si="0"/>
        <v>587.14613650146953</v>
      </c>
      <c r="N14" s="8">
        <f t="shared" si="0"/>
        <v>0.84611317585954859</v>
      </c>
      <c r="O14" s="9">
        <v>18137</v>
      </c>
      <c r="P14" s="9">
        <f t="shared" si="2"/>
        <v>27195.999999999993</v>
      </c>
      <c r="R14"/>
      <c r="S14"/>
    </row>
    <row r="15" spans="2:30" ht="23.1" customHeight="1" x14ac:dyDescent="0.25">
      <c r="B15" s="6" t="s">
        <v>20</v>
      </c>
      <c r="C15" s="6">
        <v>9968</v>
      </c>
      <c r="D15" s="8">
        <f t="shared" si="1"/>
        <v>8103.8760166078318</v>
      </c>
      <c r="E15" s="8">
        <f t="shared" si="0"/>
        <v>1254.0412396784172</v>
      </c>
      <c r="F15" s="8">
        <f t="shared" si="0"/>
        <v>1145.4525945853479</v>
      </c>
      <c r="G15" s="8">
        <f t="shared" si="0"/>
        <v>3312.8776027493109</v>
      </c>
      <c r="H15" s="8">
        <f t="shared" si="0"/>
        <v>211.79677173558088</v>
      </c>
      <c r="I15" s="8">
        <f t="shared" si="0"/>
        <v>70.76196992551354</v>
      </c>
      <c r="J15" s="8">
        <f t="shared" si="0"/>
        <v>1282.193851369213</v>
      </c>
      <c r="K15" s="8">
        <f t="shared" si="0"/>
        <v>1058.2773259520734</v>
      </c>
      <c r="L15" s="8">
        <f t="shared" si="0"/>
        <v>469.19207862285595</v>
      </c>
      <c r="M15" s="8">
        <f t="shared" si="0"/>
        <v>565.71531870558408</v>
      </c>
      <c r="N15" s="8">
        <f t="shared" si="0"/>
        <v>0.81523006826628497</v>
      </c>
      <c r="O15" s="9">
        <v>17475</v>
      </c>
      <c r="P15" s="9">
        <f t="shared" si="2"/>
        <v>27442.999999999993</v>
      </c>
      <c r="R15"/>
      <c r="S15"/>
    </row>
    <row r="16" spans="2:30" ht="23.1" customHeight="1" x14ac:dyDescent="0.25">
      <c r="B16" s="6" t="s">
        <v>23</v>
      </c>
      <c r="C16" s="6">
        <v>9708</v>
      </c>
      <c r="D16" s="8">
        <f t="shared" si="1"/>
        <v>8429.4222806226353</v>
      </c>
      <c r="E16" s="8">
        <f t="shared" si="0"/>
        <v>1304.4181753152841</v>
      </c>
      <c r="F16" s="8">
        <f t="shared" si="0"/>
        <v>1191.4673425910084</v>
      </c>
      <c r="G16" s="8">
        <f t="shared" si="0"/>
        <v>3445.9614412116866</v>
      </c>
      <c r="H16" s="8">
        <f t="shared" si="0"/>
        <v>220.30500256581709</v>
      </c>
      <c r="I16" s="8">
        <f t="shared" si="0"/>
        <v>73.6045967002037</v>
      </c>
      <c r="J16" s="8">
        <f t="shared" si="0"/>
        <v>1333.7017245400964</v>
      </c>
      <c r="K16" s="8">
        <f t="shared" si="0"/>
        <v>1100.7900975010493</v>
      </c>
      <c r="L16" s="8">
        <f t="shared" si="0"/>
        <v>488.0403097641003</v>
      </c>
      <c r="M16" s="8">
        <f t="shared" si="0"/>
        <v>588.44104996345652</v>
      </c>
      <c r="N16" s="8">
        <f t="shared" si="0"/>
        <v>0.8479792246567246</v>
      </c>
      <c r="O16" s="9">
        <v>18177</v>
      </c>
      <c r="P16" s="9">
        <f t="shared" si="2"/>
        <v>27884.999999999993</v>
      </c>
      <c r="R16"/>
      <c r="S16"/>
    </row>
    <row r="17" spans="2:19" ht="37.5" customHeight="1" x14ac:dyDescent="0.25">
      <c r="B17" s="16" t="s">
        <v>24</v>
      </c>
      <c r="C17" s="11">
        <f>AVERAGE(C10:C16)</f>
        <v>9324.8857142857141</v>
      </c>
      <c r="D17" s="11">
        <f t="shared" ref="D17:N17" si="3">AVERAGE(D10:D16)</f>
        <v>8056.8791668536387</v>
      </c>
      <c r="E17" s="11">
        <f t="shared" si="3"/>
        <v>1246.7686718841981</v>
      </c>
      <c r="F17" s="11">
        <f t="shared" si="3"/>
        <v>1138.8097654776527</v>
      </c>
      <c r="G17" s="11">
        <f t="shared" si="3"/>
        <v>3293.6652146733627</v>
      </c>
      <c r="H17" s="11">
        <f t="shared" si="3"/>
        <v>210.56849763078449</v>
      </c>
      <c r="I17" s="11">
        <f t="shared" si="3"/>
        <v>70.351599670331368</v>
      </c>
      <c r="J17" s="11">
        <f t="shared" si="3"/>
        <v>1274.7580179895988</v>
      </c>
      <c r="K17" s="11">
        <f t="shared" si="3"/>
        <v>1052.1400528269526</v>
      </c>
      <c r="L17" s="11">
        <f t="shared" si="3"/>
        <v>466.47109059444756</v>
      </c>
      <c r="M17" s="11">
        <f t="shared" si="3"/>
        <v>562.43456295582121</v>
      </c>
      <c r="N17" s="11">
        <f t="shared" si="3"/>
        <v>0.81050230034943982</v>
      </c>
      <c r="O17" s="12">
        <f>AVERAGE(O10:O16)</f>
        <v>17373.657142857144</v>
      </c>
      <c r="P17" s="12">
        <f>AVERAGE(P10:P16)</f>
        <v>26698.542857142857</v>
      </c>
      <c r="R17"/>
      <c r="S17"/>
    </row>
    <row r="18" spans="2:19" ht="23.1" customHeight="1" x14ac:dyDescent="0.25">
      <c r="B18" s="18" t="s">
        <v>11</v>
      </c>
      <c r="C18" s="17">
        <f>C$17/P$17</f>
        <v>0.34926571701612397</v>
      </c>
      <c r="D18" s="17">
        <f>D17/$P$17</f>
        <v>0.30177224315064533</v>
      </c>
      <c r="E18" s="17">
        <f>E17/$P$17</f>
        <v>4.6698004402537678E-2</v>
      </c>
      <c r="F18" s="17">
        <f t="shared" ref="F18:N18" si="4">F17/$P$17</f>
        <v>4.2654378988813565E-2</v>
      </c>
      <c r="G18" s="17">
        <f t="shared" si="4"/>
        <v>0.12336498033982346</v>
      </c>
      <c r="H18" s="17">
        <f t="shared" si="4"/>
        <v>7.8868910096510959E-3</v>
      </c>
      <c r="I18" s="17">
        <f t="shared" si="4"/>
        <v>2.6350351795139146E-3</v>
      </c>
      <c r="J18" s="17">
        <f t="shared" si="4"/>
        <v>4.7746351732021713E-2</v>
      </c>
      <c r="K18" s="17">
        <f t="shared" si="4"/>
        <v>3.9408145173191196E-2</v>
      </c>
      <c r="L18" s="17">
        <f t="shared" si="4"/>
        <v>1.7471780879219374E-2</v>
      </c>
      <c r="M18" s="17">
        <f t="shared" si="4"/>
        <v>2.106611458030748E-2</v>
      </c>
      <c r="N18" s="17">
        <f t="shared" si="4"/>
        <v>3.035754815108197E-5</v>
      </c>
      <c r="O18" s="12"/>
      <c r="P18" s="12"/>
      <c r="R18"/>
      <c r="S18"/>
    </row>
    <row r="19" spans="2:19" ht="23.1" customHeight="1" x14ac:dyDescent="0.25">
      <c r="B19" s="19" t="s">
        <v>12</v>
      </c>
      <c r="C19" s="17"/>
      <c r="D19" s="17">
        <f t="shared" ref="D19:N19" si="5">D$17/$O$17</f>
        <v>0.46374111683020491</v>
      </c>
      <c r="E19" s="17">
        <f t="shared" si="5"/>
        <v>7.1762016576733464E-2</v>
      </c>
      <c r="F19" s="17">
        <f t="shared" si="5"/>
        <v>6.5548074082137225E-2</v>
      </c>
      <c r="G19" s="17">
        <f t="shared" si="5"/>
        <v>0.1895781174677717</v>
      </c>
      <c r="H19" s="17">
        <f t="shared" si="5"/>
        <v>1.2119986937658421E-2</v>
      </c>
      <c r="I19" s="17">
        <f t="shared" si="5"/>
        <v>4.0493258898720193E-3</v>
      </c>
      <c r="J19" s="17">
        <f t="shared" si="5"/>
        <v>7.3373038704962118E-2</v>
      </c>
      <c r="K19" s="17">
        <f t="shared" si="5"/>
        <v>6.0559503631019931E-2</v>
      </c>
      <c r="L19" s="17">
        <f t="shared" si="5"/>
        <v>2.6849332110034672E-2</v>
      </c>
      <c r="M19" s="17">
        <f t="shared" si="5"/>
        <v>3.2372836549675765E-2</v>
      </c>
      <c r="N19" s="17">
        <f t="shared" si="5"/>
        <v>4.6651219929401145E-5</v>
      </c>
      <c r="O19" s="12"/>
      <c r="P19" s="12"/>
      <c r="R19"/>
      <c r="S19"/>
    </row>
    <row r="20" spans="2:19" ht="23.1" customHeight="1" x14ac:dyDescent="0.25">
      <c r="D20" s="23">
        <v>0.46374111683020497</v>
      </c>
      <c r="E20" s="23">
        <v>7.1762016576733464E-2</v>
      </c>
      <c r="F20" s="24">
        <v>6.5548074082137225E-2</v>
      </c>
      <c r="G20" s="24">
        <v>0.18957811746777173</v>
      </c>
      <c r="H20" s="24">
        <v>1.2119986937658419E-2</v>
      </c>
      <c r="I20" s="24">
        <v>4.0493258898720193E-3</v>
      </c>
      <c r="J20" s="24">
        <v>7.3373038704962118E-2</v>
      </c>
      <c r="K20" s="24">
        <v>6.0559503631019931E-2</v>
      </c>
      <c r="L20" s="24">
        <v>2.6849332110034676E-2</v>
      </c>
      <c r="M20" s="24">
        <v>3.2372836549675772E-2</v>
      </c>
      <c r="N20" s="24">
        <v>4.6651219929401145E-5</v>
      </c>
      <c r="R20"/>
      <c r="S20"/>
    </row>
    <row r="21" spans="2:19" ht="23.1" customHeight="1" x14ac:dyDescent="0.25">
      <c r="D21" s="2"/>
      <c r="E21" s="2"/>
      <c r="R21"/>
      <c r="S21"/>
    </row>
    <row r="22" spans="2:19" ht="23.1" customHeight="1" x14ac:dyDescent="0.25">
      <c r="D22" s="2"/>
      <c r="E22" s="2"/>
      <c r="R22"/>
      <c r="S22"/>
    </row>
    <row r="23" spans="2:19" ht="23.1" customHeight="1" x14ac:dyDescent="0.25">
      <c r="C23" s="2"/>
      <c r="D23" s="2"/>
      <c r="R23"/>
      <c r="S23"/>
    </row>
    <row r="24" spans="2:19" ht="23.1" customHeight="1" x14ac:dyDescent="0.25">
      <c r="C24" s="2"/>
      <c r="D24" s="2"/>
      <c r="R24"/>
      <c r="S24"/>
    </row>
    <row r="25" spans="2:19" ht="23.1" customHeight="1" x14ac:dyDescent="0.25">
      <c r="C25" s="2"/>
      <c r="D25" s="2"/>
      <c r="R25"/>
      <c r="S25"/>
    </row>
    <row r="26" spans="2:19" ht="23.1" customHeight="1" x14ac:dyDescent="0.25">
      <c r="C26" s="2"/>
      <c r="D26" s="2"/>
      <c r="R26"/>
      <c r="S26"/>
    </row>
    <row r="27" spans="2:19" ht="23.1" customHeight="1" x14ac:dyDescent="0.25">
      <c r="C27" s="2"/>
      <c r="D27" s="2"/>
      <c r="R27"/>
      <c r="S27"/>
    </row>
    <row r="28" spans="2:19" ht="23.1" customHeight="1" x14ac:dyDescent="0.25">
      <c r="C28" s="2"/>
      <c r="D28" s="2"/>
      <c r="R28"/>
      <c r="S28"/>
    </row>
    <row r="29" spans="2:19" ht="23.1" customHeight="1" x14ac:dyDescent="0.25">
      <c r="C29" s="2"/>
      <c r="D29" s="2"/>
      <c r="R29"/>
      <c r="S29"/>
    </row>
    <row r="30" spans="2:19" ht="23.1" customHeight="1" x14ac:dyDescent="0.25">
      <c r="C30" s="2"/>
      <c r="D30" s="2"/>
      <c r="R30"/>
      <c r="S30"/>
    </row>
    <row r="31" spans="2:19" ht="23.1" customHeight="1" x14ac:dyDescent="0.25">
      <c r="C31" s="2"/>
      <c r="D31" s="2"/>
      <c r="R31"/>
      <c r="S31"/>
    </row>
    <row r="32" spans="2:19" ht="23.1" customHeight="1" x14ac:dyDescent="0.25">
      <c r="C32" s="2"/>
      <c r="D32" s="2"/>
      <c r="R32"/>
      <c r="S32"/>
    </row>
    <row r="33" spans="3:19" ht="23.1" customHeight="1" x14ac:dyDescent="0.25">
      <c r="C33" s="2"/>
      <c r="D33" s="2"/>
      <c r="R33"/>
      <c r="S33"/>
    </row>
    <row r="34" spans="3:19" ht="23.1" customHeight="1" x14ac:dyDescent="0.25">
      <c r="C34" s="2"/>
      <c r="D34" s="2"/>
      <c r="R34"/>
      <c r="S34"/>
    </row>
    <row r="35" spans="3:19" ht="23.1" customHeight="1" x14ac:dyDescent="0.25">
      <c r="C35" s="2"/>
      <c r="D35" s="2"/>
      <c r="R35"/>
      <c r="S35"/>
    </row>
    <row r="36" spans="3:19" ht="23.1" customHeight="1" x14ac:dyDescent="0.25">
      <c r="C36" s="2"/>
      <c r="D36" s="2"/>
      <c r="R36"/>
      <c r="S36"/>
    </row>
    <row r="37" spans="3:19" ht="23.1" customHeight="1" x14ac:dyDescent="0.25">
      <c r="C37" s="2"/>
      <c r="D37" s="2"/>
      <c r="R37"/>
      <c r="S37"/>
    </row>
    <row r="38" spans="3:19" ht="23.1" customHeight="1" x14ac:dyDescent="0.25">
      <c r="C38" s="2"/>
      <c r="D38" s="2"/>
      <c r="R38"/>
      <c r="S38"/>
    </row>
    <row r="39" spans="3:19" ht="23.1" customHeight="1" x14ac:dyDescent="0.25">
      <c r="C39" s="2"/>
      <c r="D39" s="2"/>
      <c r="R39"/>
      <c r="S39"/>
    </row>
    <row r="40" spans="3:19" ht="23.1" customHeight="1" x14ac:dyDescent="0.25">
      <c r="C40" s="2"/>
      <c r="D40" s="2"/>
      <c r="R40"/>
      <c r="S40"/>
    </row>
    <row r="41" spans="3:19" ht="23.1" customHeight="1" x14ac:dyDescent="0.25">
      <c r="C41" s="2"/>
      <c r="D41" s="2"/>
      <c r="R41"/>
      <c r="S41"/>
    </row>
    <row r="42" spans="3:19" ht="23.1" customHeight="1" x14ac:dyDescent="0.25">
      <c r="C42" s="2"/>
      <c r="D42" s="2"/>
      <c r="R42"/>
      <c r="S42"/>
    </row>
    <row r="43" spans="3:19" ht="23.1" customHeight="1" x14ac:dyDescent="0.25">
      <c r="C43" s="2"/>
      <c r="D43" s="2"/>
      <c r="R43"/>
      <c r="S43"/>
    </row>
    <row r="44" spans="3:19" ht="23.1" customHeight="1" x14ac:dyDescent="0.25">
      <c r="C44" s="2"/>
      <c r="D44" s="2"/>
      <c r="R44"/>
      <c r="S44"/>
    </row>
    <row r="45" spans="3:19" ht="23.1" customHeight="1" x14ac:dyDescent="0.25">
      <c r="C45" s="2"/>
      <c r="D45" s="2"/>
      <c r="R45"/>
      <c r="S45"/>
    </row>
    <row r="46" spans="3:19" ht="23.1" customHeight="1" x14ac:dyDescent="0.25">
      <c r="C46" s="2"/>
      <c r="D46" s="2"/>
      <c r="R46"/>
      <c r="S46"/>
    </row>
    <row r="47" spans="3:19" ht="23.1" customHeight="1" x14ac:dyDescent="0.25">
      <c r="C47" s="2"/>
      <c r="D47" s="2"/>
      <c r="R47"/>
      <c r="S47"/>
    </row>
    <row r="48" spans="3:19" ht="23.1" customHeight="1" x14ac:dyDescent="0.25">
      <c r="C48" s="2"/>
      <c r="D48" s="2"/>
      <c r="R48"/>
      <c r="S48"/>
    </row>
    <row r="49" spans="3:19" ht="23.1" customHeight="1" x14ac:dyDescent="0.25">
      <c r="C49" s="2"/>
      <c r="D49" s="2"/>
      <c r="R49"/>
      <c r="S49"/>
    </row>
    <row r="50" spans="3:19" ht="23.1" customHeight="1" x14ac:dyDescent="0.25">
      <c r="C50" s="2"/>
      <c r="D50" s="2"/>
      <c r="R50"/>
      <c r="S50"/>
    </row>
    <row r="51" spans="3:19" ht="23.1" customHeight="1" x14ac:dyDescent="0.25">
      <c r="C51" s="2"/>
      <c r="D51" s="2"/>
      <c r="R51"/>
      <c r="S51"/>
    </row>
    <row r="52" spans="3:19" ht="23.1" customHeight="1" x14ac:dyDescent="0.25">
      <c r="C52" s="2"/>
      <c r="D52" s="2"/>
      <c r="R52"/>
      <c r="S52"/>
    </row>
    <row r="53" spans="3:19" ht="23.1" customHeight="1" x14ac:dyDescent="0.25">
      <c r="C53" s="2"/>
      <c r="D53" s="2"/>
      <c r="R53"/>
      <c r="S53"/>
    </row>
    <row r="54" spans="3:19" ht="23.1" customHeight="1" x14ac:dyDescent="0.25">
      <c r="C54" s="2"/>
      <c r="D54" s="2"/>
      <c r="R54"/>
      <c r="S54"/>
    </row>
    <row r="55" spans="3:19" ht="23.1" customHeight="1" x14ac:dyDescent="0.25">
      <c r="C55" s="2"/>
      <c r="D55" s="2"/>
      <c r="R55"/>
      <c r="S55"/>
    </row>
    <row r="56" spans="3:19" ht="23.1" customHeight="1" x14ac:dyDescent="0.25">
      <c r="C56" s="2"/>
      <c r="D56" s="2"/>
      <c r="R56"/>
      <c r="S56"/>
    </row>
    <row r="57" spans="3:19" ht="23.1" customHeight="1" x14ac:dyDescent="0.25">
      <c r="C57" s="2"/>
      <c r="D57" s="2"/>
      <c r="R57"/>
      <c r="S57"/>
    </row>
    <row r="58" spans="3:19" ht="23.1" customHeight="1" x14ac:dyDescent="0.25">
      <c r="C58" s="2"/>
      <c r="D58" s="2"/>
      <c r="R58"/>
      <c r="S58"/>
    </row>
    <row r="59" spans="3:19" ht="23.1" customHeight="1" x14ac:dyDescent="0.25">
      <c r="C59" s="2"/>
      <c r="D59" s="2"/>
      <c r="R59"/>
      <c r="S59"/>
    </row>
    <row r="60" spans="3:19" ht="23.1" customHeight="1" x14ac:dyDescent="0.25">
      <c r="C60" s="2"/>
      <c r="D60" s="2"/>
      <c r="R60"/>
      <c r="S60"/>
    </row>
    <row r="61" spans="3:19" ht="23.1" customHeight="1" x14ac:dyDescent="0.25">
      <c r="C61" s="2"/>
      <c r="D61" s="2"/>
      <c r="R61"/>
      <c r="S61"/>
    </row>
    <row r="62" spans="3:19" ht="23.1" customHeight="1" x14ac:dyDescent="0.25">
      <c r="C62" s="2"/>
      <c r="D62" s="2"/>
      <c r="R62"/>
      <c r="S62"/>
    </row>
    <row r="63" spans="3:19" ht="23.1" customHeight="1" x14ac:dyDescent="0.25">
      <c r="C63" s="2"/>
      <c r="D63" s="2"/>
      <c r="R63"/>
      <c r="S63"/>
    </row>
    <row r="64" spans="3:19" ht="23.1" customHeight="1" x14ac:dyDescent="0.25">
      <c r="C64" s="2"/>
      <c r="D64" s="2"/>
      <c r="R64"/>
      <c r="S64"/>
    </row>
    <row r="65" spans="3:19" ht="23.1" customHeight="1" x14ac:dyDescent="0.25">
      <c r="C65" s="2"/>
      <c r="D65" s="2"/>
      <c r="R65"/>
      <c r="S65"/>
    </row>
    <row r="66" spans="3:19" ht="23.1" customHeight="1" x14ac:dyDescent="0.25">
      <c r="C66" s="2"/>
      <c r="D66" s="2"/>
      <c r="R66"/>
      <c r="S66"/>
    </row>
    <row r="67" spans="3:19" ht="23.1" customHeight="1" x14ac:dyDescent="0.25">
      <c r="C67" s="2"/>
      <c r="D67" s="2"/>
      <c r="R67"/>
      <c r="S67"/>
    </row>
    <row r="68" spans="3:19" ht="23.1" customHeight="1" x14ac:dyDescent="0.25">
      <c r="C68" s="2"/>
      <c r="D68" s="2"/>
      <c r="R68"/>
      <c r="S68"/>
    </row>
    <row r="69" spans="3:19" ht="23.1" customHeight="1" x14ac:dyDescent="0.25">
      <c r="C69" s="2"/>
      <c r="D69" s="2"/>
      <c r="R69"/>
      <c r="S69"/>
    </row>
    <row r="70" spans="3:19" ht="23.1" customHeight="1" x14ac:dyDescent="0.25">
      <c r="C70" s="2"/>
      <c r="D70" s="2"/>
      <c r="R70"/>
      <c r="S70"/>
    </row>
    <row r="71" spans="3:19" ht="23.1" customHeight="1" x14ac:dyDescent="0.25">
      <c r="C71" s="2"/>
      <c r="D71" s="2"/>
      <c r="R71"/>
      <c r="S71"/>
    </row>
    <row r="72" spans="3:19" ht="23.1" customHeight="1" x14ac:dyDescent="0.25">
      <c r="C72" s="2"/>
      <c r="D72" s="2"/>
      <c r="R72"/>
      <c r="S72"/>
    </row>
    <row r="73" spans="3:19" ht="23.1" customHeight="1" x14ac:dyDescent="0.25">
      <c r="C73" s="2"/>
      <c r="D73" s="2"/>
      <c r="R73"/>
      <c r="S73"/>
    </row>
    <row r="74" spans="3:19" ht="23.1" customHeight="1" x14ac:dyDescent="0.25">
      <c r="C74" s="2"/>
      <c r="D74" s="2"/>
      <c r="R74"/>
      <c r="S74"/>
    </row>
    <row r="75" spans="3:19" ht="23.1" customHeight="1" x14ac:dyDescent="0.25">
      <c r="C75" s="2"/>
      <c r="D75" s="2"/>
      <c r="R75"/>
      <c r="S75"/>
    </row>
    <row r="76" spans="3:19" ht="23.1" customHeight="1" x14ac:dyDescent="0.25">
      <c r="C76" s="2"/>
      <c r="D76" s="2"/>
      <c r="R76"/>
      <c r="S76"/>
    </row>
    <row r="77" spans="3:19" ht="23.1" customHeight="1" x14ac:dyDescent="0.25">
      <c r="C77" s="2"/>
      <c r="D77" s="2"/>
      <c r="R77"/>
      <c r="S77"/>
    </row>
    <row r="78" spans="3:19" ht="23.1" customHeight="1" x14ac:dyDescent="0.25">
      <c r="C78" s="2"/>
      <c r="D78" s="2"/>
      <c r="R78"/>
      <c r="S78"/>
    </row>
    <row r="79" spans="3:19" ht="23.1" customHeight="1" x14ac:dyDescent="0.25">
      <c r="C79" s="2"/>
      <c r="D79" s="2"/>
      <c r="R79"/>
      <c r="S79"/>
    </row>
    <row r="80" spans="3:19" ht="23.1" customHeight="1" x14ac:dyDescent="0.25">
      <c r="C80" s="2"/>
      <c r="D80" s="2"/>
      <c r="R80"/>
      <c r="S80"/>
    </row>
    <row r="81" spans="3:19" ht="23.1" customHeight="1" x14ac:dyDescent="0.25">
      <c r="C81" s="2"/>
      <c r="D81" s="2"/>
      <c r="R81"/>
      <c r="S81"/>
    </row>
    <row r="82" spans="3:19" ht="23.1" customHeight="1" x14ac:dyDescent="0.25">
      <c r="C82" s="2"/>
      <c r="D82" s="2"/>
      <c r="R82"/>
      <c r="S82"/>
    </row>
    <row r="83" spans="3:19" ht="23.1" customHeight="1" x14ac:dyDescent="0.25">
      <c r="C83" s="2"/>
      <c r="D83" s="2"/>
      <c r="R83"/>
      <c r="S83"/>
    </row>
    <row r="84" spans="3:19" ht="23.1" customHeight="1" x14ac:dyDescent="0.25">
      <c r="C84" s="2"/>
      <c r="D84" s="2"/>
      <c r="R84"/>
      <c r="S84"/>
    </row>
    <row r="85" spans="3:19" ht="23.1" customHeight="1" x14ac:dyDescent="0.25">
      <c r="C85" s="2"/>
      <c r="D85" s="2"/>
      <c r="R85"/>
      <c r="S85"/>
    </row>
    <row r="86" spans="3:19" ht="23.1" customHeight="1" x14ac:dyDescent="0.25">
      <c r="C86" s="13"/>
      <c r="Q86" s="2"/>
      <c r="S86"/>
    </row>
    <row r="87" spans="3:19" ht="23.1" customHeight="1" x14ac:dyDescent="0.25">
      <c r="C87" s="13"/>
      <c r="Q87" s="2"/>
      <c r="S87"/>
    </row>
    <row r="88" spans="3:19" ht="23.1" customHeight="1" x14ac:dyDescent="0.25">
      <c r="C88" s="13"/>
    </row>
    <row r="89" spans="3:19" ht="23.1" customHeight="1" x14ac:dyDescent="0.25">
      <c r="C89" s="13"/>
    </row>
    <row r="90" spans="3:19" ht="23.1" customHeight="1" x14ac:dyDescent="0.25"/>
    <row r="91" spans="3:19" ht="23.1" customHeight="1" x14ac:dyDescent="0.25"/>
    <row r="92" spans="3:19" ht="23.1" customHeight="1" x14ac:dyDescent="0.25"/>
    <row r="93" spans="3:19" ht="23.1" customHeight="1" x14ac:dyDescent="0.25"/>
    <row r="94" spans="3:19" ht="23.1" customHeight="1" x14ac:dyDescent="0.25"/>
    <row r="95" spans="3:19" ht="23.1" customHeight="1" x14ac:dyDescent="0.25"/>
    <row r="96" spans="3:19" ht="23.1" customHeight="1" x14ac:dyDescent="0.25"/>
    <row r="97" ht="23.1" customHeight="1" x14ac:dyDescent="0.25"/>
    <row r="98" ht="23.1" customHeight="1" x14ac:dyDescent="0.25"/>
    <row r="99" ht="23.1" customHeight="1" x14ac:dyDescent="0.25"/>
    <row r="100" ht="23.1" customHeight="1" x14ac:dyDescent="0.25"/>
    <row r="101" ht="23.1" customHeight="1" x14ac:dyDescent="0.25"/>
    <row r="102" ht="23.1" customHeight="1" x14ac:dyDescent="0.25"/>
    <row r="103" ht="23.1" customHeight="1" x14ac:dyDescent="0.25"/>
    <row r="104" ht="23.1" customHeight="1" x14ac:dyDescent="0.25"/>
    <row r="105" ht="23.1" customHeight="1" x14ac:dyDescent="0.25"/>
    <row r="106" ht="23.1" customHeight="1" x14ac:dyDescent="0.25"/>
    <row r="107" ht="23.1" customHeight="1" x14ac:dyDescent="0.25"/>
    <row r="108" ht="23.1" customHeight="1" x14ac:dyDescent="0.25"/>
    <row r="109" ht="23.1" customHeight="1" x14ac:dyDescent="0.25"/>
    <row r="110" ht="23.1" customHeight="1" x14ac:dyDescent="0.25"/>
    <row r="111" ht="23.1" customHeight="1" x14ac:dyDescent="0.25"/>
    <row r="112" ht="23.1" customHeight="1" x14ac:dyDescent="0.25"/>
    <row r="113" ht="23.1" customHeight="1" x14ac:dyDescent="0.25"/>
    <row r="114" ht="23.1" customHeight="1" x14ac:dyDescent="0.25"/>
    <row r="115" ht="23.1" customHeight="1" x14ac:dyDescent="0.25"/>
    <row r="116" ht="23.1" customHeight="1" x14ac:dyDescent="0.25"/>
    <row r="117" ht="23.1" customHeight="1" x14ac:dyDescent="0.25"/>
    <row r="118" ht="23.1" customHeight="1" x14ac:dyDescent="0.25"/>
    <row r="119" ht="23.1" customHeight="1" x14ac:dyDescent="0.25"/>
    <row r="120" ht="23.1" customHeight="1" x14ac:dyDescent="0.25"/>
    <row r="121" ht="23.1" customHeight="1" x14ac:dyDescent="0.25"/>
    <row r="122" ht="23.1" customHeight="1" x14ac:dyDescent="0.25"/>
    <row r="123" ht="23.1" customHeight="1" x14ac:dyDescent="0.25"/>
    <row r="124" ht="23.1" customHeight="1" x14ac:dyDescent="0.25"/>
    <row r="125" ht="23.1" customHeight="1" x14ac:dyDescent="0.25"/>
    <row r="126" ht="23.1" customHeight="1" x14ac:dyDescent="0.25"/>
    <row r="127" ht="23.1" customHeight="1" x14ac:dyDescent="0.25"/>
    <row r="128" ht="23.1" customHeight="1" x14ac:dyDescent="0.25"/>
    <row r="129" ht="23.1" customHeight="1" x14ac:dyDescent="0.25"/>
    <row r="130" ht="23.1" customHeight="1" x14ac:dyDescent="0.25"/>
    <row r="131" ht="23.1" customHeight="1" x14ac:dyDescent="0.25"/>
    <row r="132" ht="23.1" customHeight="1" x14ac:dyDescent="0.25"/>
    <row r="133" ht="23.1" customHeight="1" x14ac:dyDescent="0.25"/>
    <row r="134" ht="23.1" customHeight="1" x14ac:dyDescent="0.25"/>
    <row r="135" ht="23.1" customHeight="1" x14ac:dyDescent="0.25"/>
    <row r="136" ht="23.1" customHeight="1" x14ac:dyDescent="0.25"/>
    <row r="137" ht="23.1" customHeight="1" x14ac:dyDescent="0.25"/>
    <row r="138" ht="23.1" customHeight="1" x14ac:dyDescent="0.25"/>
    <row r="139" ht="23.1" customHeight="1" x14ac:dyDescent="0.25"/>
    <row r="140" ht="23.1" customHeight="1" x14ac:dyDescent="0.25"/>
    <row r="141" ht="23.1" customHeight="1" x14ac:dyDescent="0.25"/>
    <row r="142" ht="23.1" customHeight="1" x14ac:dyDescent="0.25"/>
    <row r="143" ht="23.1" customHeight="1" x14ac:dyDescent="0.25"/>
    <row r="144" ht="23.1" customHeight="1" x14ac:dyDescent="0.25"/>
    <row r="145" ht="23.1" customHeight="1" x14ac:dyDescent="0.25"/>
    <row r="146" ht="23.1" customHeight="1" x14ac:dyDescent="0.25"/>
    <row r="147" ht="23.1" customHeight="1" x14ac:dyDescent="0.25"/>
    <row r="148" ht="23.1" customHeight="1" x14ac:dyDescent="0.25"/>
    <row r="149" ht="23.1" customHeight="1" x14ac:dyDescent="0.25"/>
    <row r="150" ht="23.1" customHeight="1" x14ac:dyDescent="0.25"/>
    <row r="151" ht="23.1" customHeight="1" x14ac:dyDescent="0.25"/>
  </sheetData>
  <mergeCells count="10">
    <mergeCell ref="D6:E6"/>
    <mergeCell ref="G6:H6"/>
    <mergeCell ref="K6:L6"/>
    <mergeCell ref="C8:P8"/>
    <mergeCell ref="C3:F3"/>
    <mergeCell ref="B1:P1"/>
    <mergeCell ref="B2:P2"/>
    <mergeCell ref="D5:E5"/>
    <mergeCell ref="G5:H5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2" tint="-0.249977111117893"/>
  </sheetPr>
  <dimension ref="B1:AD151"/>
  <sheetViews>
    <sheetView tabSelected="1" view="pageBreakPreview" topLeftCell="A4" zoomScale="55" zoomScaleSheetLayoutView="55" workbookViewId="0">
      <selection activeCell="AB13" sqref="AB13:AC16"/>
    </sheetView>
  </sheetViews>
  <sheetFormatPr defaultColWidth="15" defaultRowHeight="20.100000000000001" customHeight="1" x14ac:dyDescent="0.25"/>
  <cols>
    <col min="1" max="1" width="4.85546875" customWidth="1"/>
    <col min="2" max="2" width="19.570312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5.7109375" customWidth="1"/>
    <col min="10" max="10" width="18.42578125" customWidth="1"/>
    <col min="11" max="11" width="20.42578125" customWidth="1"/>
    <col min="12" max="12" width="19.28515625" customWidth="1"/>
    <col min="13" max="13" width="14.5703125" customWidth="1"/>
    <col min="14" max="14" width="16.28515625" customWidth="1"/>
    <col min="15" max="15" width="14.85546875" customWidth="1"/>
    <col min="16" max="16" width="14.28515625" customWidth="1"/>
    <col min="17" max="17" width="14.7109375" customWidth="1"/>
    <col min="18" max="19" width="10.7109375" style="2" customWidth="1"/>
    <col min="20" max="32" width="10.7109375" customWidth="1"/>
  </cols>
  <sheetData>
    <row r="1" spans="2:30" ht="23.25" customHeight="1" x14ac:dyDescent="0.3">
      <c r="B1" s="28" t="s">
        <v>0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</row>
    <row r="2" spans="2:30" ht="20.100000000000001" customHeight="1" x14ac:dyDescent="0.25">
      <c r="B2" s="29" t="s">
        <v>26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</row>
    <row r="3" spans="2:30" ht="20.100000000000001" customHeight="1" x14ac:dyDescent="0.25">
      <c r="B3" s="1" t="s">
        <v>1</v>
      </c>
      <c r="C3" s="32" t="s">
        <v>33</v>
      </c>
      <c r="D3" s="32"/>
      <c r="E3" s="32"/>
      <c r="F3" s="32"/>
      <c r="G3" s="15"/>
      <c r="H3" s="15"/>
      <c r="I3" s="15"/>
      <c r="J3" s="15"/>
      <c r="K3" s="1"/>
      <c r="L3" s="1"/>
      <c r="M3" s="1"/>
      <c r="N3" s="1"/>
      <c r="O3" s="1"/>
      <c r="P3" s="1"/>
    </row>
    <row r="4" spans="2:30" ht="20.10000000000000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2:30" ht="20.100000000000001" customHeight="1" x14ac:dyDescent="0.25">
      <c r="C5" s="3" t="s">
        <v>2</v>
      </c>
      <c r="D5" s="31" t="s">
        <v>31</v>
      </c>
      <c r="E5" s="31"/>
      <c r="F5" s="4" t="s">
        <v>3</v>
      </c>
      <c r="G5" s="33"/>
      <c r="H5" s="34"/>
      <c r="I5" s="5"/>
      <c r="J5" s="3" t="s">
        <v>4</v>
      </c>
      <c r="K5" s="33" t="s">
        <v>13</v>
      </c>
      <c r="L5" s="34"/>
      <c r="M5" s="2"/>
      <c r="N5" s="2"/>
    </row>
    <row r="6" spans="2:30" ht="23.25" customHeight="1" x14ac:dyDescent="0.25">
      <c r="C6" s="3" t="s">
        <v>5</v>
      </c>
      <c r="D6" s="35" t="s">
        <v>15</v>
      </c>
      <c r="E6" s="36"/>
      <c r="F6" s="3" t="s">
        <v>6</v>
      </c>
      <c r="G6" s="35" t="s">
        <v>29</v>
      </c>
      <c r="H6" s="36"/>
      <c r="J6" s="3" t="s">
        <v>7</v>
      </c>
      <c r="K6" s="35" t="s">
        <v>32</v>
      </c>
      <c r="L6" s="36"/>
      <c r="M6" s="2"/>
      <c r="N6" s="2"/>
    </row>
    <row r="7" spans="2:30" ht="20.100000000000001" customHeight="1" x14ac:dyDescent="0.25">
      <c r="D7" s="2"/>
      <c r="E7" s="2"/>
      <c r="R7"/>
      <c r="S7"/>
    </row>
    <row r="8" spans="2:30" ht="50.25" customHeight="1" x14ac:dyDescent="0.25">
      <c r="C8" s="30" t="s">
        <v>9</v>
      </c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R8"/>
      <c r="S8"/>
    </row>
    <row r="9" spans="2:30" ht="66.75" customHeight="1" x14ac:dyDescent="0.25">
      <c r="B9" s="14" t="s">
        <v>8</v>
      </c>
      <c r="C9" s="25" t="s">
        <v>16</v>
      </c>
      <c r="D9" s="25" t="s">
        <v>34</v>
      </c>
      <c r="E9" s="25" t="s">
        <v>35</v>
      </c>
      <c r="F9" s="25" t="s">
        <v>36</v>
      </c>
      <c r="G9" s="25" t="s">
        <v>45</v>
      </c>
      <c r="H9" s="25" t="s">
        <v>38</v>
      </c>
      <c r="I9" s="25" t="s">
        <v>39</v>
      </c>
      <c r="J9" s="25" t="s">
        <v>40</v>
      </c>
      <c r="K9" s="25" t="s">
        <v>41</v>
      </c>
      <c r="L9" s="25" t="s">
        <v>42</v>
      </c>
      <c r="M9" s="25" t="s">
        <v>43</v>
      </c>
      <c r="N9" s="25" t="s">
        <v>44</v>
      </c>
      <c r="O9" s="7" t="s">
        <v>10</v>
      </c>
      <c r="P9" s="7" t="s">
        <v>25</v>
      </c>
      <c r="R9"/>
      <c r="S9"/>
    </row>
    <row r="10" spans="2:30" ht="23.1" customHeight="1" x14ac:dyDescent="0.25">
      <c r="B10" s="6" t="s">
        <v>17</v>
      </c>
      <c r="C10" s="6">
        <f>'21-28-SENTEMA RBT-HOIMA RBT'!C10+'21-28-HOIMA RBT-SENTEMA RBT'!C10</f>
        <v>19207</v>
      </c>
      <c r="D10" s="8">
        <f>'21-28-SENTEMA RBT-HOIMA RBT'!D10+'21-28-HOIMA RBT-SENTEMA RBT'!D10</f>
        <v>14538.284012626926</v>
      </c>
      <c r="E10" s="8">
        <f>'21-28-SENTEMA RBT-HOIMA RBT'!E10+'21-28-HOIMA RBT-SENTEMA RBT'!E10</f>
        <v>2249.739219680594</v>
      </c>
      <c r="F10" s="8">
        <f>'21-28-SENTEMA RBT-HOIMA RBT'!F10+'21-28-HOIMA RBT-SENTEMA RBT'!F10</f>
        <v>2054.932122475002</v>
      </c>
      <c r="G10" s="8">
        <f>'21-28-SENTEMA RBT-HOIMA RBT'!G10+'21-28-HOIMA RBT-SENTEMA RBT'!G10</f>
        <v>5943.2739826146444</v>
      </c>
      <c r="H10" s="8">
        <f>'21-28-SENTEMA RBT-HOIMA RBT'!H10+'21-28-HOIMA RBT-SENTEMA RBT'!H10</f>
        <v>379.96159049559139</v>
      </c>
      <c r="I10" s="8">
        <f>'21-28-SENTEMA RBT-HOIMA RBT'!I10+'21-28-HOIMA RBT-SENTEMA RBT'!I10</f>
        <v>126.94636664748779</v>
      </c>
      <c r="J10" s="8">
        <f>'21-28-SENTEMA RBT-HOIMA RBT'!J10+'21-28-HOIMA RBT-SENTEMA RBT'!J10</f>
        <v>2300.2447634005625</v>
      </c>
      <c r="K10" s="8">
        <f>'21-28-SENTEMA RBT-HOIMA RBT'!K10+'21-28-HOIMA RBT-SENTEMA RBT'!K10</f>
        <v>1898.5404388324748</v>
      </c>
      <c r="L10" s="8">
        <f>'21-28-SENTEMA RBT-HOIMA RBT'!L10+'21-28-HOIMA RBT-SENTEMA RBT'!L10</f>
        <v>841.7265616495871</v>
      </c>
      <c r="M10" s="8">
        <f>'21-28-SENTEMA RBT-HOIMA RBT'!M10+'21-28-HOIMA RBT-SENTEMA RBT'!M10</f>
        <v>1014.8884258323355</v>
      </c>
      <c r="N10" s="8">
        <f>'21-28-SENTEMA RBT-HOIMA RBT'!N10+'21-28-HOIMA RBT-SENTEMA RBT'!N10</f>
        <v>1.4625157447867259</v>
      </c>
      <c r="O10" s="9">
        <f>SUM(D10:N10)</f>
        <v>31349.999999999985</v>
      </c>
      <c r="P10" s="9">
        <f>SUM(C10:N10)</f>
        <v>50557.000000000007</v>
      </c>
      <c r="R10"/>
      <c r="S10"/>
    </row>
    <row r="11" spans="2:30" s="10" customFormat="1" ht="23.1" customHeight="1" x14ac:dyDescent="0.25">
      <c r="B11" s="6" t="s">
        <v>21</v>
      </c>
      <c r="C11" s="6">
        <f>'21-28-SENTEMA RBT-HOIMA RBT'!C11+'21-28-HOIMA RBT-SENTEMA RBT'!C11</f>
        <v>18287.2</v>
      </c>
      <c r="D11" s="8">
        <f>'21-28-SENTEMA RBT-HOIMA RBT'!D11+'21-28-HOIMA RBT-SENTEMA RBT'!D11</f>
        <v>14629.919257312573</v>
      </c>
      <c r="E11" s="8">
        <f>'21-28-SENTEMA RBT-HOIMA RBT'!E11+'21-28-HOIMA RBT-SENTEMA RBT'!E11</f>
        <v>2263.9193941561566</v>
      </c>
      <c r="F11" s="8">
        <f>'21-28-SENTEMA RBT-HOIMA RBT'!F11+'21-28-HOIMA RBT-SENTEMA RBT'!F11</f>
        <v>2067.8844219136322</v>
      </c>
      <c r="G11" s="8">
        <f>'21-28-SENTEMA RBT-HOIMA RBT'!G11+'21-28-HOIMA RBT-SENTEMA RBT'!G11</f>
        <v>5980.7346186262748</v>
      </c>
      <c r="H11" s="8">
        <f>'21-28-SENTEMA RBT-HOIMA RBT'!H11+'21-28-HOIMA RBT-SENTEMA RBT'!H11</f>
        <v>382.35649991447269</v>
      </c>
      <c r="I11" s="8">
        <f>'21-28-SENTEMA RBT-HOIMA RBT'!I11+'21-28-HOIMA RBT-SENTEMA RBT'!I11</f>
        <v>127.74651344332651</v>
      </c>
      <c r="J11" s="8">
        <f>'21-28-SENTEMA RBT-HOIMA RBT'!J11+'21-28-HOIMA RBT-SENTEMA RBT'!J11</f>
        <v>2314.743275848663</v>
      </c>
      <c r="K11" s="8">
        <f>'21-28-SENTEMA RBT-HOIMA RBT'!K11+'21-28-HOIMA RBT-SENTEMA RBT'!K11</f>
        <v>1910.5069967499644</v>
      </c>
      <c r="L11" s="8">
        <f>'21-28-SENTEMA RBT-HOIMA RBT'!L11+'21-28-HOIMA RBT-SENTEMA RBT'!L11</f>
        <v>847.03198967453</v>
      </c>
      <c r="M11" s="8">
        <f>'21-28-SENTEMA RBT-HOIMA RBT'!M11+'21-28-HOIMA RBT-SENTEMA RBT'!M11</f>
        <v>1021.2852983345513</v>
      </c>
      <c r="N11" s="8">
        <f>'21-28-SENTEMA RBT-HOIMA RBT'!N11+'21-28-HOIMA RBT-SENTEMA RBT'!N11</f>
        <v>1.4717340258447755</v>
      </c>
      <c r="O11" s="9">
        <f t="shared" ref="O11:O16" si="0">SUM(D11:N11)</f>
        <v>31547.599999999995</v>
      </c>
      <c r="P11" s="9">
        <f t="shared" ref="P11:P16" si="1">SUM(C11:N11)</f>
        <v>49834.799999999981</v>
      </c>
    </row>
    <row r="12" spans="2:30" ht="23.1" customHeight="1" x14ac:dyDescent="0.25">
      <c r="B12" s="6" t="s">
        <v>22</v>
      </c>
      <c r="C12" s="6">
        <f>'21-28-SENTEMA RBT-HOIMA RBT'!C12+'21-28-HOIMA RBT-SENTEMA RBT'!C12</f>
        <v>18651</v>
      </c>
      <c r="D12" s="8">
        <f>'21-28-SENTEMA RBT-HOIMA RBT'!D12+'21-28-HOIMA RBT-SENTEMA RBT'!D12</f>
        <v>14927.826550764297</v>
      </c>
      <c r="E12" s="8">
        <f>'21-28-SENTEMA RBT-HOIMA RBT'!E12+'21-28-HOIMA RBT-SENTEMA RBT'!E12</f>
        <v>2310.0193136050502</v>
      </c>
      <c r="F12" s="8">
        <f>'21-28-SENTEMA RBT-HOIMA RBT'!F12+'21-28-HOIMA RBT-SENTEMA RBT'!F12</f>
        <v>2109.9925047039974</v>
      </c>
      <c r="G12" s="8">
        <f>'21-28-SENTEMA RBT-HOIMA RBT'!G12+'21-28-HOIMA RBT-SENTEMA RBT'!G12</f>
        <v>6102.5196012875713</v>
      </c>
      <c r="H12" s="8">
        <f>'21-28-SENTEMA RBT-HOIMA RBT'!H12+'21-28-HOIMA RBT-SENTEMA RBT'!H12</f>
        <v>390.14237952322452</v>
      </c>
      <c r="I12" s="8">
        <f>'21-28-SENTEMA RBT-HOIMA RBT'!I12+'21-28-HOIMA RBT-SENTEMA RBT'!I12</f>
        <v>130.34780039498031</v>
      </c>
      <c r="J12" s="8">
        <f>'21-28-SENTEMA RBT-HOIMA RBT'!J12+'21-28-HOIMA RBT-SENTEMA RBT'!J12</f>
        <v>2361.8781159127302</v>
      </c>
      <c r="K12" s="8">
        <f>'21-28-SENTEMA RBT-HOIMA RBT'!K12+'21-28-HOIMA RBT-SENTEMA RBT'!K12</f>
        <v>1949.4104218825314</v>
      </c>
      <c r="L12" s="8">
        <f>'21-28-SENTEMA RBT-HOIMA RBT'!L12+'21-28-HOIMA RBT-SENTEMA RBT'!L12</f>
        <v>864.28000062201613</v>
      </c>
      <c r="M12" s="8">
        <f>'21-28-SENTEMA RBT-HOIMA RBT'!M12+'21-28-HOIMA RBT-SENTEMA RBT'!M12</f>
        <v>1042.081608534063</v>
      </c>
      <c r="N12" s="8">
        <f>'21-28-SENTEMA RBT-HOIMA RBT'!N12+'21-28-HOIMA RBT-SENTEMA RBT'!N12</f>
        <v>1.501702769527423</v>
      </c>
      <c r="O12" s="9">
        <f t="shared" si="0"/>
        <v>32189.999999999989</v>
      </c>
      <c r="P12" s="9">
        <f t="shared" si="1"/>
        <v>50840.999999999985</v>
      </c>
      <c r="R12"/>
      <c r="S12"/>
    </row>
    <row r="13" spans="2:30" ht="23.1" customHeight="1" x14ac:dyDescent="0.25">
      <c r="B13" s="6" t="s">
        <v>18</v>
      </c>
      <c r="C13" s="6">
        <f>'21-28-SENTEMA RBT-HOIMA RBT'!C13+'21-28-HOIMA RBT-SENTEMA RBT'!C13</f>
        <v>18107</v>
      </c>
      <c r="D13" s="8">
        <f>'21-28-SENTEMA RBT-HOIMA RBT'!D13+'21-28-HOIMA RBT-SENTEMA RBT'!D13</f>
        <v>15044.689312205508</v>
      </c>
      <c r="E13" s="8">
        <f>'21-28-SENTEMA RBT-HOIMA RBT'!E13+'21-28-HOIMA RBT-SENTEMA RBT'!E13</f>
        <v>2328.1033417823874</v>
      </c>
      <c r="F13" s="8">
        <f>'21-28-SENTEMA RBT-HOIMA RBT'!F13+'21-28-HOIMA RBT-SENTEMA RBT'!F13</f>
        <v>2126.5106193726961</v>
      </c>
      <c r="G13" s="8">
        <f>'21-28-SENTEMA RBT-HOIMA RBT'!G13+'21-28-HOIMA RBT-SENTEMA RBT'!G13</f>
        <v>6150.2932868894504</v>
      </c>
      <c r="H13" s="8">
        <f>'21-28-SENTEMA RBT-HOIMA RBT'!H13+'21-28-HOIMA RBT-SENTEMA RBT'!H13</f>
        <v>393.19661623151444</v>
      </c>
      <c r="I13" s="8">
        <f>'21-28-SENTEMA RBT-HOIMA RBT'!I13+'21-28-HOIMA RBT-SENTEMA RBT'!I13</f>
        <v>131.36823051922806</v>
      </c>
      <c r="J13" s="8">
        <f>'21-28-SENTEMA RBT-HOIMA RBT'!J13+'21-28-HOIMA RBT-SENTEMA RBT'!J13</f>
        <v>2380.3681216663808</v>
      </c>
      <c r="K13" s="8">
        <f>'21-28-SENTEMA RBT-HOIMA RBT'!K13+'21-28-HOIMA RBT-SENTEMA RBT'!K13</f>
        <v>1964.6714167975485</v>
      </c>
      <c r="L13" s="8">
        <f>'21-28-SENTEMA RBT-HOIMA RBT'!L13+'21-28-HOIMA RBT-SENTEMA RBT'!L13</f>
        <v>871.04603231374494</v>
      </c>
      <c r="M13" s="8">
        <f>'21-28-SENTEMA RBT-HOIMA RBT'!M13+'21-28-HOIMA RBT-SENTEMA RBT'!M13</f>
        <v>1050.2395633445815</v>
      </c>
      <c r="N13" s="8">
        <f>'21-28-SENTEMA RBT-HOIMA RBT'!N13+'21-28-HOIMA RBT-SENTEMA RBT'!N13</f>
        <v>1.513458876949632</v>
      </c>
      <c r="O13" s="9">
        <f t="shared" si="0"/>
        <v>32441.999999999993</v>
      </c>
      <c r="P13" s="9">
        <f t="shared" si="1"/>
        <v>50548.999999999993</v>
      </c>
      <c r="R13"/>
      <c r="S13"/>
      <c r="AB13" s="26">
        <f>AVERAGE(O10:O13)</f>
        <v>31882.399999999987</v>
      </c>
      <c r="AC13" s="26">
        <f>AVERAGE(P10:P13)</f>
        <v>50445.45</v>
      </c>
    </row>
    <row r="14" spans="2:30" ht="23.1" customHeight="1" x14ac:dyDescent="0.25">
      <c r="B14" s="6" t="s">
        <v>19</v>
      </c>
      <c r="C14" s="6">
        <f>'21-28-SENTEMA RBT-HOIMA RBT'!C14+'21-28-HOIMA RBT-SENTEMA RBT'!C14</f>
        <v>18732</v>
      </c>
      <c r="D14" s="8">
        <f>'21-28-SENTEMA RBT-HOIMA RBT'!D14+'21-28-HOIMA RBT-SENTEMA RBT'!D14</f>
        <v>15993.503637240108</v>
      </c>
      <c r="E14" s="8">
        <f>'21-28-SENTEMA RBT-HOIMA RBT'!E14+'21-28-HOIMA RBT-SENTEMA RBT'!E14</f>
        <v>2474.9284276983835</v>
      </c>
      <c r="F14" s="8">
        <f>'21-28-SENTEMA RBT-HOIMA RBT'!F14+'21-28-HOIMA RBT-SENTEMA RBT'!F14</f>
        <v>2260.6219789447487</v>
      </c>
      <c r="G14" s="8">
        <f>'21-28-SENTEMA RBT-HOIMA RBT'!G14+'21-28-HOIMA RBT-SENTEMA RBT'!G14</f>
        <v>6538.1701152285113</v>
      </c>
      <c r="H14" s="8">
        <f>'21-28-SENTEMA RBT-HOIMA RBT'!H14+'21-28-HOIMA RBT-SENTEMA RBT'!H14</f>
        <v>417.99410950596354</v>
      </c>
      <c r="I14" s="8">
        <f>'21-28-SENTEMA RBT-HOIMA RBT'!I14+'21-28-HOIMA RBT-SENTEMA RBT'!I14</f>
        <v>139.65315128990619</v>
      </c>
      <c r="J14" s="8">
        <f>'21-28-SENTEMA RBT-HOIMA RBT'!J14+'21-28-HOIMA RBT-SENTEMA RBT'!J14</f>
        <v>2530.4893588567338</v>
      </c>
      <c r="K14" s="8">
        <f>'21-28-SENTEMA RBT-HOIMA RBT'!K14+'21-28-HOIMA RBT-SENTEMA RBT'!K14</f>
        <v>2088.5761612266156</v>
      </c>
      <c r="L14" s="8">
        <f>'21-28-SENTEMA RBT-HOIMA RBT'!L14+'21-28-HOIMA RBT-SENTEMA RBT'!L14</f>
        <v>925.97976581087596</v>
      </c>
      <c r="M14" s="8">
        <f>'21-28-SENTEMA RBT-HOIMA RBT'!M14+'21-28-HOIMA RBT-SENTEMA RBT'!M14</f>
        <v>1116.4743869252179</v>
      </c>
      <c r="N14" s="8">
        <f>'21-28-SENTEMA RBT-HOIMA RBT'!N14+'21-28-HOIMA RBT-SENTEMA RBT'!N14</f>
        <v>1.6089072729251868</v>
      </c>
      <c r="O14" s="9">
        <f t="shared" si="0"/>
        <v>34487.999999999978</v>
      </c>
      <c r="P14" s="9">
        <f t="shared" si="1"/>
        <v>53219.999999999985</v>
      </c>
      <c r="R14"/>
      <c r="S14"/>
      <c r="AA14" s="26"/>
      <c r="AB14" s="27">
        <f>O14/AB13</f>
        <v>1.0817253406268033</v>
      </c>
      <c r="AC14" s="27">
        <f>P14/AC13</f>
        <v>1.0550009961255176</v>
      </c>
    </row>
    <row r="15" spans="2:30" ht="23.1" customHeight="1" x14ac:dyDescent="0.25">
      <c r="B15" s="6" t="s">
        <v>20</v>
      </c>
      <c r="C15" s="6">
        <f>'21-28-SENTEMA RBT-HOIMA RBT'!C15+'21-28-HOIMA RBT-SENTEMA RBT'!C15</f>
        <v>19445</v>
      </c>
      <c r="D15" s="8">
        <f>'21-28-SENTEMA RBT-HOIMA RBT'!D15+'21-28-HOIMA RBT-SENTEMA RBT'!D15</f>
        <v>15155.523439127928</v>
      </c>
      <c r="E15" s="8">
        <f>'21-28-SENTEMA RBT-HOIMA RBT'!E15+'21-28-HOIMA RBT-SENTEMA RBT'!E15</f>
        <v>2345.2544637442261</v>
      </c>
      <c r="F15" s="8">
        <f>'21-28-SENTEMA RBT-HOIMA RBT'!F15+'21-28-HOIMA RBT-SENTEMA RBT'!F15</f>
        <v>2142.1766090783267</v>
      </c>
      <c r="G15" s="8">
        <f>'21-28-SENTEMA RBT-HOIMA RBT'!G15+'21-28-HOIMA RBT-SENTEMA RBT'!G15</f>
        <v>6195.6024569642477</v>
      </c>
      <c r="H15" s="8">
        <f>'21-28-SENTEMA RBT-HOIMA RBT'!H15+'21-28-HOIMA RBT-SENTEMA RBT'!H15</f>
        <v>396.09329310961482</v>
      </c>
      <c r="I15" s="8">
        <f>'21-28-SENTEMA RBT-HOIMA RBT'!I15+'21-28-HOIMA RBT-SENTEMA RBT'!I15</f>
        <v>132.33601940690747</v>
      </c>
      <c r="J15" s="8">
        <f>'21-28-SENTEMA RBT-HOIMA RBT'!J15+'21-28-HOIMA RBT-SENTEMA RBT'!J15</f>
        <v>2397.9042779168667</v>
      </c>
      <c r="K15" s="8">
        <f>'21-28-SENTEMA RBT-HOIMA RBT'!K15+'21-28-HOIMA RBT-SENTEMA RBT'!K15</f>
        <v>1979.1451381653624</v>
      </c>
      <c r="L15" s="8">
        <f>'21-28-SENTEMA RBT-HOIMA RBT'!L15+'21-28-HOIMA RBT-SENTEMA RBT'!L15</f>
        <v>877.46302268804322</v>
      </c>
      <c r="M15" s="8">
        <f>'21-28-SENTEMA RBT-HOIMA RBT'!M15+'21-28-HOIMA RBT-SENTEMA RBT'!M15</f>
        <v>1057.9766712799537</v>
      </c>
      <c r="N15" s="8">
        <f>'21-28-SENTEMA RBT-HOIMA RBT'!N15+'21-28-HOIMA RBT-SENTEMA RBT'!N15</f>
        <v>1.5246085185127587</v>
      </c>
      <c r="O15" s="9">
        <f t="shared" si="0"/>
        <v>32680.999999999989</v>
      </c>
      <c r="P15" s="9">
        <f t="shared" si="1"/>
        <v>52125.999999999993</v>
      </c>
      <c r="R15"/>
      <c r="S15"/>
      <c r="AA15" s="27"/>
      <c r="AB15" s="27">
        <f>O15/AB13</f>
        <v>1.0250483025117307</v>
      </c>
      <c r="AC15" s="27">
        <f>P15/AC13</f>
        <v>1.0333142037587135</v>
      </c>
    </row>
    <row r="16" spans="2:30" ht="23.1" customHeight="1" x14ac:dyDescent="0.25">
      <c r="B16" s="6" t="s">
        <v>23</v>
      </c>
      <c r="C16" s="6">
        <f>'21-28-SENTEMA RBT-HOIMA RBT'!C16+'21-28-HOIMA RBT-SENTEMA RBT'!C16</f>
        <v>19178</v>
      </c>
      <c r="D16" s="8">
        <f>'21-28-SENTEMA RBT-HOIMA RBT'!D16+'21-28-HOIMA RBT-SENTEMA RBT'!D16</f>
        <v>15405.016159982579</v>
      </c>
      <c r="E16" s="8">
        <f>'21-28-SENTEMA RBT-HOIMA RBT'!E16+'21-28-HOIMA RBT-SENTEMA RBT'!E16</f>
        <v>2383.862428662509</v>
      </c>
      <c r="F16" s="8">
        <f>'21-28-SENTEMA RBT-HOIMA RBT'!F16+'21-28-HOIMA RBT-SENTEMA RBT'!F16</f>
        <v>2177.4414729345167</v>
      </c>
      <c r="G16" s="8">
        <f>'21-28-SENTEMA RBT-HOIMA RBT'!G16+'21-28-HOIMA RBT-SENTEMA RBT'!G16</f>
        <v>6297.5954841619096</v>
      </c>
      <c r="H16" s="8">
        <f>'21-28-SENTEMA RBT-HOIMA RBT'!H16+'21-28-HOIMA RBT-SENTEMA RBT'!H16</f>
        <v>402.61384608207504</v>
      </c>
      <c r="I16" s="8">
        <f>'21-28-SENTEMA RBT-HOIMA RBT'!I16+'21-28-HOIMA RBT-SENTEMA RBT'!I16</f>
        <v>134.51455673565863</v>
      </c>
      <c r="J16" s="8">
        <f>'21-28-SENTEMA RBT-HOIMA RBT'!J16+'21-28-HOIMA RBT-SENTEMA RBT'!J16</f>
        <v>2437.3789727401363</v>
      </c>
      <c r="K16" s="8">
        <f>'21-28-SENTEMA RBT-HOIMA RBT'!K16+'21-28-HOIMA RBT-SENTEMA RBT'!K16</f>
        <v>2011.7261511188512</v>
      </c>
      <c r="L16" s="8">
        <f>'21-28-SENTEMA RBT-HOIMA RBT'!L16+'21-28-HOIMA RBT-SENTEMA RBT'!L16</f>
        <v>891.90796336324183</v>
      </c>
      <c r="M16" s="8">
        <f>'21-28-SENTEMA RBT-HOIMA RBT'!M16+'21-28-HOIMA RBT-SENTEMA RBT'!M16</f>
        <v>1075.3932573436796</v>
      </c>
      <c r="N16" s="8">
        <f>'21-28-SENTEMA RBT-HOIMA RBT'!N16+'21-28-HOIMA RBT-SENTEMA RBT'!N16</f>
        <v>1.5497068748347766</v>
      </c>
      <c r="O16" s="9">
        <f t="shared" si="0"/>
        <v>33218.999999999993</v>
      </c>
      <c r="P16" s="9">
        <f t="shared" si="1"/>
        <v>52397</v>
      </c>
      <c r="R16"/>
      <c r="S16"/>
      <c r="AA16" s="27"/>
      <c r="AB16" s="27">
        <f>O16/AB13</f>
        <v>1.0419228163500869</v>
      </c>
      <c r="AC16" s="27">
        <f>P16/AC13</f>
        <v>1.038686343366944</v>
      </c>
    </row>
    <row r="17" spans="2:19" ht="26.25" customHeight="1" x14ac:dyDescent="0.25">
      <c r="B17" s="16" t="s">
        <v>24</v>
      </c>
      <c r="C17" s="11">
        <f>AVERAGE(C10:C16)</f>
        <v>18801.028571428575</v>
      </c>
      <c r="D17" s="11">
        <f t="shared" ref="D17:N17" si="2">AVERAGE(D10:D16)</f>
        <v>15099.251767037131</v>
      </c>
      <c r="E17" s="11">
        <f>AVERAGE(E10:E16)</f>
        <v>2336.5466556184724</v>
      </c>
      <c r="F17" s="11">
        <f t="shared" si="2"/>
        <v>2134.2228184889887</v>
      </c>
      <c r="G17" s="11">
        <f t="shared" si="2"/>
        <v>6172.5985065389441</v>
      </c>
      <c r="H17" s="11">
        <f t="shared" si="2"/>
        <v>394.62261926606516</v>
      </c>
      <c r="I17" s="11">
        <f t="shared" si="2"/>
        <v>131.84466263392784</v>
      </c>
      <c r="J17" s="11">
        <f t="shared" si="2"/>
        <v>2389.0009837631537</v>
      </c>
      <c r="K17" s="11">
        <f t="shared" si="2"/>
        <v>1971.7966749676214</v>
      </c>
      <c r="L17" s="11">
        <f t="shared" si="2"/>
        <v>874.20504801743414</v>
      </c>
      <c r="M17" s="11">
        <f t="shared" si="2"/>
        <v>1054.0484587991975</v>
      </c>
      <c r="N17" s="11">
        <f t="shared" si="2"/>
        <v>1.5189477261973252</v>
      </c>
      <c r="O17" s="12">
        <f>AVERAGE(O10:O16)</f>
        <v>32559.65714285713</v>
      </c>
      <c r="P17" s="12">
        <f>AVERAGE(P10:P16)</f>
        <v>51360.685714285712</v>
      </c>
      <c r="R17"/>
      <c r="S17"/>
    </row>
    <row r="18" spans="2:19" ht="23.1" customHeight="1" x14ac:dyDescent="0.25">
      <c r="B18" s="18" t="s">
        <v>11</v>
      </c>
      <c r="C18" s="17">
        <f>C$17/P$17</f>
        <v>0.36605875310966041</v>
      </c>
      <c r="D18" s="17">
        <f>D17/$P$17</f>
        <v>0.29398462183765883</v>
      </c>
      <c r="E18" s="17">
        <f>E17/$P$17</f>
        <v>4.5492902268019643E-2</v>
      </c>
      <c r="F18" s="17">
        <f t="shared" ref="F18:N18" si="3">F17/$P$17</f>
        <v>4.1553627814890436E-2</v>
      </c>
      <c r="G18" s="17">
        <f t="shared" si="3"/>
        <v>0.1201813881706425</v>
      </c>
      <c r="H18" s="17">
        <f t="shared" si="3"/>
        <v>7.6833596315538074E-3</v>
      </c>
      <c r="I18" s="17">
        <f t="shared" si="3"/>
        <v>2.5670347036908024E-3</v>
      </c>
      <c r="J18" s="17">
        <f t="shared" si="3"/>
        <v>4.6514195644756846E-2</v>
      </c>
      <c r="K18" s="17">
        <f t="shared" si="3"/>
        <v>3.8391167242908836E-2</v>
      </c>
      <c r="L18" s="17">
        <f t="shared" si="3"/>
        <v>1.7020899076008216E-2</v>
      </c>
      <c r="M18" s="17">
        <f t="shared" si="3"/>
        <v>2.0522476367678621E-2</v>
      </c>
      <c r="N18" s="17">
        <f t="shared" si="3"/>
        <v>2.9574132531000024E-5</v>
      </c>
      <c r="O18" s="12"/>
      <c r="P18" s="12"/>
      <c r="R18"/>
      <c r="S18"/>
    </row>
    <row r="19" spans="2:19" ht="23.1" customHeight="1" x14ac:dyDescent="0.25">
      <c r="B19" s="19" t="s">
        <v>12</v>
      </c>
      <c r="C19" s="17"/>
      <c r="D19" s="17">
        <f t="shared" ref="D19:N19" si="4">D$17/$O$17</f>
        <v>0.46374111683020514</v>
      </c>
      <c r="E19" s="17">
        <f t="shared" si="4"/>
        <v>7.1762016576733492E-2</v>
      </c>
      <c r="F19" s="17">
        <f t="shared" si="4"/>
        <v>6.5548074082137253E-2</v>
      </c>
      <c r="G19" s="17">
        <f t="shared" si="4"/>
        <v>0.18957811746777181</v>
      </c>
      <c r="H19" s="17">
        <f t="shared" si="4"/>
        <v>1.2119986937658422E-2</v>
      </c>
      <c r="I19" s="17">
        <f t="shared" si="4"/>
        <v>4.049325889872021E-3</v>
      </c>
      <c r="J19" s="17">
        <f t="shared" si="4"/>
        <v>7.337303870496216E-2</v>
      </c>
      <c r="K19" s="17">
        <f t="shared" si="4"/>
        <v>6.0559503631019959E-2</v>
      </c>
      <c r="L19" s="17">
        <f t="shared" si="4"/>
        <v>2.6849332110034686E-2</v>
      </c>
      <c r="M19" s="17">
        <f t="shared" si="4"/>
        <v>3.2372836549675786E-2</v>
      </c>
      <c r="N19" s="17">
        <f t="shared" si="4"/>
        <v>4.6651219929401159E-5</v>
      </c>
      <c r="O19" s="12"/>
      <c r="P19" s="12"/>
      <c r="R19"/>
      <c r="S19"/>
    </row>
    <row r="20" spans="2:19" ht="23.1" customHeight="1" x14ac:dyDescent="0.25">
      <c r="D20" s="2"/>
      <c r="E20" s="2"/>
      <c r="R20"/>
      <c r="S20"/>
    </row>
    <row r="21" spans="2:19" ht="23.1" customHeight="1" x14ac:dyDescent="0.25">
      <c r="D21" s="2"/>
      <c r="E21" s="2"/>
      <c r="R21"/>
      <c r="S21"/>
    </row>
    <row r="22" spans="2:19" ht="23.1" customHeight="1" x14ac:dyDescent="0.25">
      <c r="D22" s="2"/>
      <c r="E22" s="2"/>
      <c r="R22"/>
      <c r="S22"/>
    </row>
    <row r="23" spans="2:19" ht="23.1" customHeight="1" x14ac:dyDescent="0.25">
      <c r="C23" s="2"/>
      <c r="D23" s="2"/>
      <c r="R23"/>
      <c r="S23"/>
    </row>
    <row r="24" spans="2:19" ht="23.1" customHeight="1" x14ac:dyDescent="0.25">
      <c r="C24" s="2"/>
      <c r="D24" s="2"/>
      <c r="R24"/>
      <c r="S24"/>
    </row>
    <row r="25" spans="2:19" ht="23.1" customHeight="1" x14ac:dyDescent="0.25">
      <c r="C25" s="2"/>
      <c r="D25" s="2"/>
      <c r="R25"/>
      <c r="S25"/>
    </row>
    <row r="26" spans="2:19" ht="23.1" customHeight="1" x14ac:dyDescent="0.25">
      <c r="C26" s="2"/>
      <c r="D26" s="2"/>
      <c r="R26"/>
      <c r="S26"/>
    </row>
    <row r="27" spans="2:19" ht="23.1" customHeight="1" x14ac:dyDescent="0.25">
      <c r="C27" s="2"/>
      <c r="D27" s="2"/>
      <c r="R27"/>
      <c r="S27"/>
    </row>
    <row r="28" spans="2:19" ht="23.1" customHeight="1" x14ac:dyDescent="0.25">
      <c r="C28" s="2"/>
      <c r="D28" s="2"/>
      <c r="R28"/>
      <c r="S28"/>
    </row>
    <row r="29" spans="2:19" ht="23.1" customHeight="1" x14ac:dyDescent="0.25">
      <c r="C29" s="2"/>
      <c r="D29" s="2"/>
      <c r="R29"/>
      <c r="S29"/>
    </row>
    <row r="30" spans="2:19" ht="23.1" customHeight="1" x14ac:dyDescent="0.25">
      <c r="C30" s="2"/>
      <c r="D30" s="2"/>
      <c r="R30"/>
      <c r="S30"/>
    </row>
    <row r="31" spans="2:19" ht="23.1" customHeight="1" x14ac:dyDescent="0.25">
      <c r="C31" s="2"/>
      <c r="D31" s="2"/>
      <c r="R31"/>
      <c r="S31"/>
    </row>
    <row r="32" spans="2:19" ht="23.1" customHeight="1" x14ac:dyDescent="0.25">
      <c r="C32" s="2"/>
      <c r="D32" s="2"/>
      <c r="R32"/>
      <c r="S32"/>
    </row>
    <row r="33" spans="3:19" ht="23.1" customHeight="1" x14ac:dyDescent="0.25">
      <c r="C33" s="2"/>
      <c r="D33" s="2"/>
      <c r="R33"/>
      <c r="S33"/>
    </row>
    <row r="34" spans="3:19" ht="23.1" customHeight="1" x14ac:dyDescent="0.25">
      <c r="C34" s="2"/>
      <c r="D34" s="2"/>
      <c r="R34"/>
      <c r="S34"/>
    </row>
    <row r="35" spans="3:19" ht="23.1" customHeight="1" x14ac:dyDescent="0.25">
      <c r="C35" s="2"/>
      <c r="D35" s="2"/>
      <c r="R35"/>
      <c r="S35"/>
    </row>
    <row r="36" spans="3:19" ht="23.1" customHeight="1" x14ac:dyDescent="0.25">
      <c r="C36" s="2"/>
      <c r="D36" s="2"/>
      <c r="R36"/>
      <c r="S36"/>
    </row>
    <row r="37" spans="3:19" ht="23.1" customHeight="1" x14ac:dyDescent="0.25">
      <c r="C37" s="2"/>
      <c r="D37" s="2"/>
      <c r="R37"/>
      <c r="S37"/>
    </row>
    <row r="38" spans="3:19" ht="23.1" customHeight="1" x14ac:dyDescent="0.25">
      <c r="C38" s="2"/>
      <c r="D38" s="2"/>
      <c r="R38"/>
      <c r="S38"/>
    </row>
    <row r="39" spans="3:19" ht="23.1" customHeight="1" x14ac:dyDescent="0.25">
      <c r="C39" s="2"/>
      <c r="D39" s="2"/>
      <c r="R39"/>
      <c r="S39"/>
    </row>
    <row r="40" spans="3:19" ht="23.1" customHeight="1" x14ac:dyDescent="0.25">
      <c r="C40" s="2"/>
      <c r="D40" s="2"/>
      <c r="R40"/>
      <c r="S40"/>
    </row>
    <row r="41" spans="3:19" ht="23.1" customHeight="1" x14ac:dyDescent="0.25">
      <c r="C41" s="2"/>
      <c r="D41" s="2"/>
      <c r="R41"/>
      <c r="S41"/>
    </row>
    <row r="42" spans="3:19" ht="23.1" customHeight="1" x14ac:dyDescent="0.25">
      <c r="C42" s="2"/>
      <c r="D42" s="2"/>
      <c r="R42"/>
      <c r="S42"/>
    </row>
    <row r="43" spans="3:19" ht="23.1" customHeight="1" x14ac:dyDescent="0.25">
      <c r="C43" s="2"/>
      <c r="D43" s="2"/>
      <c r="R43"/>
      <c r="S43"/>
    </row>
    <row r="44" spans="3:19" ht="23.1" customHeight="1" x14ac:dyDescent="0.25">
      <c r="C44" s="2"/>
      <c r="D44" s="2"/>
      <c r="R44"/>
      <c r="S44"/>
    </row>
    <row r="45" spans="3:19" ht="23.1" customHeight="1" x14ac:dyDescent="0.25">
      <c r="C45" s="2"/>
      <c r="D45" s="2"/>
      <c r="R45"/>
      <c r="S45"/>
    </row>
    <row r="46" spans="3:19" ht="23.1" customHeight="1" x14ac:dyDescent="0.25">
      <c r="C46" s="2"/>
      <c r="D46" s="2"/>
      <c r="R46"/>
      <c r="S46"/>
    </row>
    <row r="47" spans="3:19" ht="23.1" customHeight="1" x14ac:dyDescent="0.25">
      <c r="C47" s="2"/>
      <c r="D47" s="2"/>
      <c r="R47"/>
      <c r="S47"/>
    </row>
    <row r="48" spans="3:19" ht="23.1" customHeight="1" x14ac:dyDescent="0.25">
      <c r="C48" s="2"/>
      <c r="D48" s="2"/>
      <c r="R48"/>
      <c r="S48"/>
    </row>
    <row r="49" spans="3:19" ht="23.1" customHeight="1" x14ac:dyDescent="0.25">
      <c r="C49" s="2"/>
      <c r="D49" s="2"/>
      <c r="R49"/>
      <c r="S49"/>
    </row>
    <row r="50" spans="3:19" ht="23.1" customHeight="1" x14ac:dyDescent="0.25">
      <c r="C50" s="2"/>
      <c r="D50" s="2"/>
      <c r="R50"/>
      <c r="S50"/>
    </row>
    <row r="51" spans="3:19" ht="23.1" customHeight="1" x14ac:dyDescent="0.25">
      <c r="C51" s="2"/>
      <c r="D51" s="2"/>
      <c r="R51"/>
      <c r="S51"/>
    </row>
    <row r="52" spans="3:19" ht="23.1" customHeight="1" x14ac:dyDescent="0.25">
      <c r="C52" s="2"/>
      <c r="D52" s="2"/>
      <c r="R52"/>
      <c r="S52"/>
    </row>
    <row r="53" spans="3:19" ht="23.1" customHeight="1" x14ac:dyDescent="0.25">
      <c r="C53" s="2"/>
      <c r="D53" s="2"/>
      <c r="R53"/>
      <c r="S53"/>
    </row>
    <row r="54" spans="3:19" ht="23.1" customHeight="1" x14ac:dyDescent="0.25">
      <c r="C54" s="2"/>
      <c r="D54" s="2"/>
      <c r="R54"/>
      <c r="S54"/>
    </row>
    <row r="55" spans="3:19" ht="23.1" customHeight="1" x14ac:dyDescent="0.25">
      <c r="C55" s="2"/>
      <c r="D55" s="2"/>
      <c r="R55"/>
      <c r="S55"/>
    </row>
    <row r="56" spans="3:19" ht="23.1" customHeight="1" x14ac:dyDescent="0.25">
      <c r="C56" s="2"/>
      <c r="D56" s="2"/>
      <c r="R56"/>
      <c r="S56"/>
    </row>
    <row r="57" spans="3:19" ht="23.1" customHeight="1" x14ac:dyDescent="0.25">
      <c r="C57" s="2"/>
      <c r="D57" s="2"/>
      <c r="R57"/>
      <c r="S57"/>
    </row>
    <row r="58" spans="3:19" ht="23.1" customHeight="1" x14ac:dyDescent="0.25">
      <c r="C58" s="2"/>
      <c r="D58" s="2"/>
      <c r="R58"/>
      <c r="S58"/>
    </row>
    <row r="59" spans="3:19" ht="23.1" customHeight="1" x14ac:dyDescent="0.25">
      <c r="C59" s="2"/>
      <c r="D59" s="2"/>
      <c r="R59"/>
      <c r="S59"/>
    </row>
    <row r="60" spans="3:19" ht="23.1" customHeight="1" x14ac:dyDescent="0.25">
      <c r="C60" s="2"/>
      <c r="D60" s="2"/>
      <c r="R60"/>
      <c r="S60"/>
    </row>
    <row r="61" spans="3:19" ht="23.1" customHeight="1" x14ac:dyDescent="0.25">
      <c r="C61" s="2"/>
      <c r="D61" s="2"/>
      <c r="R61"/>
      <c r="S61"/>
    </row>
    <row r="62" spans="3:19" ht="23.1" customHeight="1" x14ac:dyDescent="0.25">
      <c r="C62" s="2"/>
      <c r="D62" s="2"/>
      <c r="R62"/>
      <c r="S62"/>
    </row>
    <row r="63" spans="3:19" ht="23.1" customHeight="1" x14ac:dyDescent="0.25">
      <c r="C63" s="2"/>
      <c r="D63" s="2"/>
      <c r="R63"/>
      <c r="S63"/>
    </row>
    <row r="64" spans="3:19" ht="23.1" customHeight="1" x14ac:dyDescent="0.25">
      <c r="C64" s="2"/>
      <c r="D64" s="2"/>
      <c r="R64"/>
      <c r="S64"/>
    </row>
    <row r="65" spans="3:19" ht="23.1" customHeight="1" x14ac:dyDescent="0.25">
      <c r="C65" s="2"/>
      <c r="D65" s="2"/>
      <c r="R65"/>
      <c r="S65"/>
    </row>
    <row r="66" spans="3:19" ht="23.1" customHeight="1" x14ac:dyDescent="0.25">
      <c r="C66" s="2"/>
      <c r="D66" s="2"/>
      <c r="R66"/>
      <c r="S66"/>
    </row>
    <row r="67" spans="3:19" ht="23.1" customHeight="1" x14ac:dyDescent="0.25">
      <c r="C67" s="2"/>
      <c r="D67" s="2"/>
      <c r="R67"/>
      <c r="S67"/>
    </row>
    <row r="68" spans="3:19" ht="23.1" customHeight="1" x14ac:dyDescent="0.25">
      <c r="C68" s="2"/>
      <c r="D68" s="2"/>
      <c r="R68"/>
      <c r="S68"/>
    </row>
    <row r="69" spans="3:19" ht="23.1" customHeight="1" x14ac:dyDescent="0.25">
      <c r="C69" s="2"/>
      <c r="D69" s="2"/>
      <c r="R69"/>
      <c r="S69"/>
    </row>
    <row r="70" spans="3:19" ht="23.1" customHeight="1" x14ac:dyDescent="0.25">
      <c r="C70" s="2"/>
      <c r="D70" s="2"/>
      <c r="R70"/>
      <c r="S70"/>
    </row>
    <row r="71" spans="3:19" ht="23.1" customHeight="1" x14ac:dyDescent="0.25">
      <c r="C71" s="2"/>
      <c r="D71" s="2"/>
      <c r="R71"/>
      <c r="S71"/>
    </row>
    <row r="72" spans="3:19" ht="23.1" customHeight="1" x14ac:dyDescent="0.25">
      <c r="C72" s="2"/>
      <c r="D72" s="2"/>
      <c r="R72"/>
      <c r="S72"/>
    </row>
    <row r="73" spans="3:19" ht="23.1" customHeight="1" x14ac:dyDescent="0.25">
      <c r="C73" s="2"/>
      <c r="D73" s="2"/>
      <c r="R73"/>
      <c r="S73"/>
    </row>
    <row r="74" spans="3:19" ht="23.1" customHeight="1" x14ac:dyDescent="0.25">
      <c r="C74" s="2"/>
      <c r="D74" s="2"/>
      <c r="R74"/>
      <c r="S74"/>
    </row>
    <row r="75" spans="3:19" ht="23.1" customHeight="1" x14ac:dyDescent="0.25">
      <c r="C75" s="2"/>
      <c r="D75" s="2"/>
      <c r="R75"/>
      <c r="S75"/>
    </row>
    <row r="76" spans="3:19" ht="23.1" customHeight="1" x14ac:dyDescent="0.25">
      <c r="C76" s="2"/>
      <c r="D76" s="2"/>
      <c r="R76"/>
      <c r="S76"/>
    </row>
    <row r="77" spans="3:19" ht="23.1" customHeight="1" x14ac:dyDescent="0.25">
      <c r="C77" s="2"/>
      <c r="D77" s="2"/>
      <c r="R77"/>
      <c r="S77"/>
    </row>
    <row r="78" spans="3:19" ht="23.1" customHeight="1" x14ac:dyDescent="0.25">
      <c r="C78" s="2"/>
      <c r="D78" s="2"/>
      <c r="R78"/>
      <c r="S78"/>
    </row>
    <row r="79" spans="3:19" ht="23.1" customHeight="1" x14ac:dyDescent="0.25">
      <c r="C79" s="2"/>
      <c r="D79" s="2"/>
      <c r="R79"/>
      <c r="S79"/>
    </row>
    <row r="80" spans="3:19" ht="23.1" customHeight="1" x14ac:dyDescent="0.25">
      <c r="C80" s="2"/>
      <c r="D80" s="2"/>
      <c r="R80"/>
      <c r="S80"/>
    </row>
    <row r="81" spans="3:19" ht="23.1" customHeight="1" x14ac:dyDescent="0.25">
      <c r="C81" s="2"/>
      <c r="D81" s="2"/>
      <c r="R81"/>
      <c r="S81"/>
    </row>
    <row r="82" spans="3:19" ht="23.1" customHeight="1" x14ac:dyDescent="0.25">
      <c r="C82" s="2"/>
      <c r="D82" s="2"/>
      <c r="R82"/>
      <c r="S82"/>
    </row>
    <row r="83" spans="3:19" ht="23.1" customHeight="1" x14ac:dyDescent="0.25">
      <c r="C83" s="2"/>
      <c r="D83" s="2"/>
      <c r="R83"/>
      <c r="S83"/>
    </row>
    <row r="84" spans="3:19" ht="23.1" customHeight="1" x14ac:dyDescent="0.25">
      <c r="C84" s="2"/>
      <c r="D84" s="2"/>
      <c r="R84"/>
      <c r="S84"/>
    </row>
    <row r="85" spans="3:19" ht="23.1" customHeight="1" x14ac:dyDescent="0.25">
      <c r="C85" s="2"/>
      <c r="D85" s="2"/>
      <c r="R85"/>
      <c r="S85"/>
    </row>
    <row r="86" spans="3:19" ht="23.1" customHeight="1" x14ac:dyDescent="0.25">
      <c r="C86" s="13"/>
      <c r="Q86" s="2"/>
      <c r="S86"/>
    </row>
    <row r="87" spans="3:19" ht="23.1" customHeight="1" x14ac:dyDescent="0.25">
      <c r="C87" s="13"/>
      <c r="Q87" s="2"/>
      <c r="S87"/>
    </row>
    <row r="88" spans="3:19" ht="23.1" customHeight="1" x14ac:dyDescent="0.25">
      <c r="C88" s="13"/>
    </row>
    <row r="89" spans="3:19" ht="23.1" customHeight="1" x14ac:dyDescent="0.25">
      <c r="C89" s="13"/>
    </row>
    <row r="90" spans="3:19" ht="23.1" customHeight="1" x14ac:dyDescent="0.25"/>
    <row r="91" spans="3:19" ht="23.1" customHeight="1" x14ac:dyDescent="0.25"/>
    <row r="92" spans="3:19" ht="23.1" customHeight="1" x14ac:dyDescent="0.25"/>
    <row r="93" spans="3:19" ht="23.1" customHeight="1" x14ac:dyDescent="0.25"/>
    <row r="94" spans="3:19" ht="23.1" customHeight="1" x14ac:dyDescent="0.25"/>
    <row r="95" spans="3:19" ht="23.1" customHeight="1" x14ac:dyDescent="0.25"/>
    <row r="96" spans="3:19" ht="23.1" customHeight="1" x14ac:dyDescent="0.25"/>
    <row r="97" ht="23.1" customHeight="1" x14ac:dyDescent="0.25"/>
    <row r="98" ht="23.1" customHeight="1" x14ac:dyDescent="0.25"/>
    <row r="99" ht="23.1" customHeight="1" x14ac:dyDescent="0.25"/>
    <row r="100" ht="23.1" customHeight="1" x14ac:dyDescent="0.25"/>
    <row r="101" ht="23.1" customHeight="1" x14ac:dyDescent="0.25"/>
    <row r="102" ht="23.1" customHeight="1" x14ac:dyDescent="0.25"/>
    <row r="103" ht="23.1" customHeight="1" x14ac:dyDescent="0.25"/>
    <row r="104" ht="23.1" customHeight="1" x14ac:dyDescent="0.25"/>
    <row r="105" ht="23.1" customHeight="1" x14ac:dyDescent="0.25"/>
    <row r="106" ht="23.1" customHeight="1" x14ac:dyDescent="0.25"/>
    <row r="107" ht="23.1" customHeight="1" x14ac:dyDescent="0.25"/>
    <row r="108" ht="23.1" customHeight="1" x14ac:dyDescent="0.25"/>
    <row r="109" ht="23.1" customHeight="1" x14ac:dyDescent="0.25"/>
    <row r="110" ht="23.1" customHeight="1" x14ac:dyDescent="0.25"/>
    <row r="111" ht="23.1" customHeight="1" x14ac:dyDescent="0.25"/>
    <row r="112" ht="23.1" customHeight="1" x14ac:dyDescent="0.25"/>
    <row r="113" ht="23.1" customHeight="1" x14ac:dyDescent="0.25"/>
    <row r="114" ht="23.1" customHeight="1" x14ac:dyDescent="0.25"/>
    <row r="115" ht="23.1" customHeight="1" x14ac:dyDescent="0.25"/>
    <row r="116" ht="23.1" customHeight="1" x14ac:dyDescent="0.25"/>
    <row r="117" ht="23.1" customHeight="1" x14ac:dyDescent="0.25"/>
    <row r="118" ht="23.1" customHeight="1" x14ac:dyDescent="0.25"/>
    <row r="119" ht="23.1" customHeight="1" x14ac:dyDescent="0.25"/>
    <row r="120" ht="23.1" customHeight="1" x14ac:dyDescent="0.25"/>
    <row r="121" ht="23.1" customHeight="1" x14ac:dyDescent="0.25"/>
    <row r="122" ht="23.1" customHeight="1" x14ac:dyDescent="0.25"/>
    <row r="123" ht="23.1" customHeight="1" x14ac:dyDescent="0.25"/>
    <row r="124" ht="23.1" customHeight="1" x14ac:dyDescent="0.25"/>
    <row r="125" ht="23.1" customHeight="1" x14ac:dyDescent="0.25"/>
    <row r="126" ht="23.1" customHeight="1" x14ac:dyDescent="0.25"/>
    <row r="127" ht="23.1" customHeight="1" x14ac:dyDescent="0.25"/>
    <row r="128" ht="23.1" customHeight="1" x14ac:dyDescent="0.25"/>
    <row r="129" ht="23.1" customHeight="1" x14ac:dyDescent="0.25"/>
    <row r="130" ht="23.1" customHeight="1" x14ac:dyDescent="0.25"/>
    <row r="131" ht="23.1" customHeight="1" x14ac:dyDescent="0.25"/>
    <row r="132" ht="23.1" customHeight="1" x14ac:dyDescent="0.25"/>
    <row r="133" ht="23.1" customHeight="1" x14ac:dyDescent="0.25"/>
    <row r="134" ht="23.1" customHeight="1" x14ac:dyDescent="0.25"/>
    <row r="135" ht="23.1" customHeight="1" x14ac:dyDescent="0.25"/>
    <row r="136" ht="23.1" customHeight="1" x14ac:dyDescent="0.25"/>
    <row r="137" ht="23.1" customHeight="1" x14ac:dyDescent="0.25"/>
    <row r="138" ht="23.1" customHeight="1" x14ac:dyDescent="0.25"/>
    <row r="139" ht="23.1" customHeight="1" x14ac:dyDescent="0.25"/>
    <row r="140" ht="23.1" customHeight="1" x14ac:dyDescent="0.25"/>
    <row r="141" ht="23.1" customHeight="1" x14ac:dyDescent="0.25"/>
    <row r="142" ht="23.1" customHeight="1" x14ac:dyDescent="0.25"/>
    <row r="143" ht="23.1" customHeight="1" x14ac:dyDescent="0.25"/>
    <row r="144" ht="23.1" customHeight="1" x14ac:dyDescent="0.25"/>
    <row r="145" ht="23.1" customHeight="1" x14ac:dyDescent="0.25"/>
    <row r="146" ht="23.1" customHeight="1" x14ac:dyDescent="0.25"/>
    <row r="147" ht="23.1" customHeight="1" x14ac:dyDescent="0.25"/>
    <row r="148" ht="23.1" customHeight="1" x14ac:dyDescent="0.25"/>
    <row r="149" ht="23.1" customHeight="1" x14ac:dyDescent="0.25"/>
    <row r="150" ht="23.1" customHeight="1" x14ac:dyDescent="0.25"/>
    <row r="151" ht="23.1" customHeight="1" x14ac:dyDescent="0.25"/>
  </sheetData>
  <mergeCells count="10">
    <mergeCell ref="D6:E6"/>
    <mergeCell ref="G6:H6"/>
    <mergeCell ref="K6:L6"/>
    <mergeCell ref="C8:P8"/>
    <mergeCell ref="B1:P1"/>
    <mergeCell ref="B2:P2"/>
    <mergeCell ref="C3:F3"/>
    <mergeCell ref="D5:E5"/>
    <mergeCell ref="G5:H5"/>
    <mergeCell ref="K5:L5"/>
  </mergeCells>
  <pageMargins left="0" right="0" top="0" bottom="0" header="0.15748031496062992" footer="0.11811023622047245"/>
  <pageSetup paperSize="9" scale="47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21-28-SENTEMA RBT-HOIMA RBT</vt:lpstr>
      <vt:lpstr>21-28-HOIMA RBT-SENTEMA RBT</vt:lpstr>
      <vt:lpstr>SENTEMA RBT-HOIMA RBT - 2DIR</vt:lpstr>
      <vt:lpstr>'21-28-HOIMA RBT-SENTEMA RBT'!Print_Area</vt:lpstr>
      <vt:lpstr>'21-28-SENTEMA RBT-HOIMA RBT'!Print_Area</vt:lpstr>
      <vt:lpstr>'SENTEMA RBT-HOIMA RBT - 2DIR'!Print_Area</vt:lpstr>
      <vt:lpstr>'21-28-HOIMA RBT-SENTEMA RBT'!Print_Titles</vt:lpstr>
      <vt:lpstr>'21-28-SENTEMA RBT-HOIMA RBT'!Print_Titles</vt:lpstr>
      <vt:lpstr>'SENTEMA RBT-HOIMA RBT - 2DIR'!Print_Titles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MR.O</dc:creator>
  <cp:lastModifiedBy>USER</cp:lastModifiedBy>
  <cp:lastPrinted>2020-03-24T09:55:20Z</cp:lastPrinted>
  <dcterms:created xsi:type="dcterms:W3CDTF">2020-02-14T20:49:42Z</dcterms:created>
  <dcterms:modified xsi:type="dcterms:W3CDTF">2020-03-24T10:24:39Z</dcterms:modified>
</cp:coreProperties>
</file>